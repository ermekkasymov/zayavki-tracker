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Сводка" sheetId="3" state="visible" r:id="rId3"/>
  </sheets>
  <definedNames>
    <definedName name="Заказчики">'Справочники'!$B$2:$B$11</definedName>
    <definedName name="Поставщики">'Справочники'!$C$2:$C$4</definedName>
    <definedName name="Статусы">'Справочники'!$D$2:$D$6</definedName>
    <definedName name="Порог_просрочки">'Справочники'!$F$1</definedName>
    <definedName name="_xlnm._FilterDatabase" localSheetId="0" hidden="1">'Заявки'!$A$1:$L$101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C00000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164" fontId="3" fillId="0" borderId="1" pivotButton="0" quotePrefix="0" xfId="0"/>
    <xf numFmtId="0" fontId="3" fillId="0" borderId="1" pivotButton="0" quotePrefix="0" xfId="0"/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dxfs count="7">
    <dxf>
      <font>
        <name val="Arial"/>
        <i val="1"/>
        <color rgb="00808080"/>
      </font>
      <fill>
        <patternFill patternType="solid">
          <fgColor rgb="00D9D9D9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C6EC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9C0006"/>
      </font>
      <fill>
        <patternFill patternType="solid">
          <f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заявок по статусам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'Сводка'!$A$4:$A$8</f>
            </numRef>
          </cat>
          <val>
            <numRef>
              <f>'Сводка'!$B$4:$B$8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Статус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6" customWidth="1" min="4" max="4"/>
    <col width="22" customWidth="1" min="5" max="5"/>
    <col width="14" customWidth="1" min="6" max="6"/>
    <col width="14" customWidth="1" min="7" max="7"/>
    <col width="16" customWidth="1" min="8" max="8"/>
    <col width="18" customWidth="1" min="9" max="9"/>
    <col width="14" customWidth="1" min="10" max="10"/>
    <col width="14" customWidth="1" min="11" max="11"/>
    <col width="30" customWidth="1" min="12" max="12"/>
  </cols>
  <sheetData>
    <row r="1">
      <c r="A1" s="1" t="inlineStr">
        <is>
          <t>№</t>
        </is>
      </c>
      <c r="B1" s="1" t="inlineStr">
        <is>
          <t>Дата поступления</t>
        </is>
      </c>
      <c r="C1" s="1" t="inlineStr">
        <is>
          <t>Заказчик</t>
        </is>
      </c>
      <c r="D1" s="1" t="inlineStr">
        <is>
          <t>Поставщик</t>
        </is>
      </c>
      <c r="E1" s="1" t="inlineStr">
        <is>
          <t>Текущий статус</t>
        </is>
      </c>
      <c r="F1" s="1" t="inlineStr">
        <is>
          <t>Принято в работу</t>
        </is>
      </c>
      <c r="G1" s="1" t="inlineStr">
        <is>
          <t>Запрос цены</t>
        </is>
      </c>
      <c r="H1" s="1" t="inlineStr">
        <is>
          <t>Отправлено предложение</t>
        </is>
      </c>
      <c r="I1" s="1" t="inlineStr">
        <is>
          <t>На согласовании у Заказчика</t>
        </is>
      </c>
      <c r="J1" s="1" t="inlineStr">
        <is>
          <t>Отправлено</t>
        </is>
      </c>
      <c r="K1" s="1" t="inlineStr">
        <is>
          <t>Дней на текущем статусе</t>
        </is>
      </c>
      <c r="L1" s="1" t="inlineStr">
        <is>
          <t>Комментарий</t>
        </is>
      </c>
    </row>
    <row r="2">
      <c r="A2" s="2">
        <f>IF(B2="","",ROW()-1)</f>
        <v/>
      </c>
      <c r="B2" s="3" t="n"/>
      <c r="C2" s="4" t="n"/>
      <c r="D2" s="4" t="n"/>
      <c r="E2" s="4" t="n"/>
      <c r="F2" s="3" t="n"/>
      <c r="G2" s="3" t="n"/>
      <c r="H2" s="3" t="n"/>
      <c r="I2" s="3" t="n"/>
      <c r="J2" s="3" t="n"/>
      <c r="K2" s="2">
        <f>IF(E2="","",IF(COUNTIF($F$1:$J$1,E2)=0,"",IF(INDEX(F2:J2,MATCH(E2,$F$1:$J$1,0))="","",TODAY()-INDEX(F2:J2,MATCH(E2,$F$1:$J$1,0)))))</f>
        <v/>
      </c>
      <c r="L2" s="4" t="n"/>
    </row>
    <row r="3">
      <c r="A3" s="2">
        <f>IF(B3="","",ROW()-1)</f>
        <v/>
      </c>
      <c r="B3" s="3" t="n"/>
      <c r="C3" s="4" t="n"/>
      <c r="D3" s="4" t="n"/>
      <c r="E3" s="4" t="n"/>
      <c r="F3" s="3" t="n"/>
      <c r="G3" s="3" t="n"/>
      <c r="H3" s="3" t="n"/>
      <c r="I3" s="3" t="n"/>
      <c r="J3" s="3" t="n"/>
      <c r="K3" s="2">
        <f>IF(E3="","",IF(COUNTIF($F$1:$J$1,E3)=0,"",IF(INDEX(F3:J3,MATCH(E3,$F$1:$J$1,0))="","",TODAY()-INDEX(F3:J3,MATCH(E3,$F$1:$J$1,0)))))</f>
        <v/>
      </c>
      <c r="L3" s="4" t="n"/>
    </row>
    <row r="4">
      <c r="A4" s="2">
        <f>IF(B4="","",ROW()-1)</f>
        <v/>
      </c>
      <c r="B4" s="3" t="n"/>
      <c r="C4" s="4" t="n"/>
      <c r="D4" s="4" t="n"/>
      <c r="E4" s="4" t="n"/>
      <c r="F4" s="3" t="n"/>
      <c r="G4" s="3" t="n"/>
      <c r="H4" s="3" t="n"/>
      <c r="I4" s="3" t="n"/>
      <c r="J4" s="3" t="n"/>
      <c r="K4" s="2">
        <f>IF(E4="","",IF(COUNTIF($F$1:$J$1,E4)=0,"",IF(INDEX(F4:J4,MATCH(E4,$F$1:$J$1,0))="","",TODAY()-INDEX(F4:J4,MATCH(E4,$F$1:$J$1,0)))))</f>
        <v/>
      </c>
      <c r="L4" s="4" t="n"/>
    </row>
    <row r="5">
      <c r="A5" s="2">
        <f>IF(B5="","",ROW()-1)</f>
        <v/>
      </c>
      <c r="B5" s="3" t="n"/>
      <c r="C5" s="4" t="n"/>
      <c r="D5" s="4" t="n"/>
      <c r="E5" s="4" t="n"/>
      <c r="F5" s="3" t="n"/>
      <c r="G5" s="3" t="n"/>
      <c r="H5" s="3" t="n"/>
      <c r="I5" s="3" t="n"/>
      <c r="J5" s="3" t="n"/>
      <c r="K5" s="2">
        <f>IF(E5="","",IF(COUNTIF($F$1:$J$1,E5)=0,"",IF(INDEX(F5:J5,MATCH(E5,$F$1:$J$1,0))="","",TODAY()-INDEX(F5:J5,MATCH(E5,$F$1:$J$1,0)))))</f>
        <v/>
      </c>
      <c r="L5" s="4" t="n"/>
    </row>
    <row r="6">
      <c r="A6" s="2">
        <f>IF(B6="","",ROW()-1)</f>
        <v/>
      </c>
      <c r="B6" s="3" t="n"/>
      <c r="C6" s="4" t="n"/>
      <c r="D6" s="4" t="n"/>
      <c r="E6" s="4" t="n"/>
      <c r="F6" s="3" t="n"/>
      <c r="G6" s="3" t="n"/>
      <c r="H6" s="3" t="n"/>
      <c r="I6" s="3" t="n"/>
      <c r="J6" s="3" t="n"/>
      <c r="K6" s="2">
        <f>IF(E6="","",IF(COUNTIF($F$1:$J$1,E6)=0,"",IF(INDEX(F6:J6,MATCH(E6,$F$1:$J$1,0))="","",TODAY()-INDEX(F6:J6,MATCH(E6,$F$1:$J$1,0)))))</f>
        <v/>
      </c>
      <c r="L6" s="4" t="n"/>
    </row>
    <row r="7">
      <c r="A7" s="2">
        <f>IF(B7="","",ROW()-1)</f>
        <v/>
      </c>
      <c r="B7" s="3" t="n"/>
      <c r="C7" s="4" t="n"/>
      <c r="D7" s="4" t="n"/>
      <c r="E7" s="4" t="n"/>
      <c r="F7" s="3" t="n"/>
      <c r="G7" s="3" t="n"/>
      <c r="H7" s="3" t="n"/>
      <c r="I7" s="3" t="n"/>
      <c r="J7" s="3" t="n"/>
      <c r="K7" s="2">
        <f>IF(E7="","",IF(COUNTIF($F$1:$J$1,E7)=0,"",IF(INDEX(F7:J7,MATCH(E7,$F$1:$J$1,0))="","",TODAY()-INDEX(F7:J7,MATCH(E7,$F$1:$J$1,0)))))</f>
        <v/>
      </c>
      <c r="L7" s="4" t="n"/>
    </row>
    <row r="8">
      <c r="A8" s="2">
        <f>IF(B8="","",ROW()-1)</f>
        <v/>
      </c>
      <c r="B8" s="3" t="n"/>
      <c r="C8" s="4" t="n"/>
      <c r="D8" s="4" t="n"/>
      <c r="E8" s="4" t="n"/>
      <c r="F8" s="3" t="n"/>
      <c r="G8" s="3" t="n"/>
      <c r="H8" s="3" t="n"/>
      <c r="I8" s="3" t="n"/>
      <c r="J8" s="3" t="n"/>
      <c r="K8" s="2">
        <f>IF(E8="","",IF(COUNTIF($F$1:$J$1,E8)=0,"",IF(INDEX(F8:J8,MATCH(E8,$F$1:$J$1,0))="","",TODAY()-INDEX(F8:J8,MATCH(E8,$F$1:$J$1,0)))))</f>
        <v/>
      </c>
      <c r="L8" s="4" t="n"/>
    </row>
    <row r="9">
      <c r="A9" s="2">
        <f>IF(B9="","",ROW()-1)</f>
        <v/>
      </c>
      <c r="B9" s="3" t="n"/>
      <c r="C9" s="4" t="n"/>
      <c r="D9" s="4" t="n"/>
      <c r="E9" s="4" t="n"/>
      <c r="F9" s="3" t="n"/>
      <c r="G9" s="3" t="n"/>
      <c r="H9" s="3" t="n"/>
      <c r="I9" s="3" t="n"/>
      <c r="J9" s="3" t="n"/>
      <c r="K9" s="2">
        <f>IF(E9="","",IF(COUNTIF($F$1:$J$1,E9)=0,"",IF(INDEX(F9:J9,MATCH(E9,$F$1:$J$1,0))="","",TODAY()-INDEX(F9:J9,MATCH(E9,$F$1:$J$1,0)))))</f>
        <v/>
      </c>
      <c r="L9" s="4" t="n"/>
    </row>
    <row r="10">
      <c r="A10" s="2">
        <f>IF(B10="","",ROW()-1)</f>
        <v/>
      </c>
      <c r="B10" s="3" t="n"/>
      <c r="C10" s="4" t="n"/>
      <c r="D10" s="4" t="n"/>
      <c r="E10" s="4" t="n"/>
      <c r="F10" s="3" t="n"/>
      <c r="G10" s="3" t="n"/>
      <c r="H10" s="3" t="n"/>
      <c r="I10" s="3" t="n"/>
      <c r="J10" s="3" t="n"/>
      <c r="K10" s="2">
        <f>IF(E10="","",IF(COUNTIF($F$1:$J$1,E10)=0,"",IF(INDEX(F10:J10,MATCH(E10,$F$1:$J$1,0))="","",TODAY()-INDEX(F10:J10,MATCH(E10,$F$1:$J$1,0)))))</f>
        <v/>
      </c>
      <c r="L10" s="4" t="n"/>
    </row>
    <row r="11">
      <c r="A11" s="2">
        <f>IF(B11="","",ROW()-1)</f>
        <v/>
      </c>
      <c r="B11" s="3" t="n"/>
      <c r="C11" s="4" t="n"/>
      <c r="D11" s="4" t="n"/>
      <c r="E11" s="4" t="n"/>
      <c r="F11" s="3" t="n"/>
      <c r="G11" s="3" t="n"/>
      <c r="H11" s="3" t="n"/>
      <c r="I11" s="3" t="n"/>
      <c r="J11" s="3" t="n"/>
      <c r="K11" s="2">
        <f>IF(E11="","",IF(COUNTIF($F$1:$J$1,E11)=0,"",IF(INDEX(F11:J11,MATCH(E11,$F$1:$J$1,0))="","",TODAY()-INDEX(F11:J11,MATCH(E11,$F$1:$J$1,0)))))</f>
        <v/>
      </c>
      <c r="L11" s="4" t="n"/>
    </row>
    <row r="12">
      <c r="A12" s="2">
        <f>IF(B12="","",ROW()-1)</f>
        <v/>
      </c>
      <c r="B12" s="3" t="n"/>
      <c r="C12" s="4" t="n"/>
      <c r="D12" s="4" t="n"/>
      <c r="E12" s="4" t="n"/>
      <c r="F12" s="3" t="n"/>
      <c r="G12" s="3" t="n"/>
      <c r="H12" s="3" t="n"/>
      <c r="I12" s="3" t="n"/>
      <c r="J12" s="3" t="n"/>
      <c r="K12" s="2">
        <f>IF(E12="","",IF(COUNTIF($F$1:$J$1,E12)=0,"",IF(INDEX(F12:J12,MATCH(E12,$F$1:$J$1,0))="","",TODAY()-INDEX(F12:J12,MATCH(E12,$F$1:$J$1,0)))))</f>
        <v/>
      </c>
      <c r="L12" s="4" t="n"/>
    </row>
    <row r="13">
      <c r="A13" s="2">
        <f>IF(B13="","",ROW()-1)</f>
        <v/>
      </c>
      <c r="B13" s="3" t="n"/>
      <c r="C13" s="4" t="n"/>
      <c r="D13" s="4" t="n"/>
      <c r="E13" s="4" t="n"/>
      <c r="F13" s="3" t="n"/>
      <c r="G13" s="3" t="n"/>
      <c r="H13" s="3" t="n"/>
      <c r="I13" s="3" t="n"/>
      <c r="J13" s="3" t="n"/>
      <c r="K13" s="2">
        <f>IF(E13="","",IF(COUNTIF($F$1:$J$1,E13)=0,"",IF(INDEX(F13:J13,MATCH(E13,$F$1:$J$1,0))="","",TODAY()-INDEX(F13:J13,MATCH(E13,$F$1:$J$1,0)))))</f>
        <v/>
      </c>
      <c r="L13" s="4" t="n"/>
    </row>
    <row r="14">
      <c r="A14" s="2">
        <f>IF(B14="","",ROW()-1)</f>
        <v/>
      </c>
      <c r="B14" s="3" t="n"/>
      <c r="C14" s="4" t="n"/>
      <c r="D14" s="4" t="n"/>
      <c r="E14" s="4" t="n"/>
      <c r="F14" s="3" t="n"/>
      <c r="G14" s="3" t="n"/>
      <c r="H14" s="3" t="n"/>
      <c r="I14" s="3" t="n"/>
      <c r="J14" s="3" t="n"/>
      <c r="K14" s="2">
        <f>IF(E14="","",IF(COUNTIF($F$1:$J$1,E14)=0,"",IF(INDEX(F14:J14,MATCH(E14,$F$1:$J$1,0))="","",TODAY()-INDEX(F14:J14,MATCH(E14,$F$1:$J$1,0)))))</f>
        <v/>
      </c>
      <c r="L14" s="4" t="n"/>
    </row>
    <row r="15">
      <c r="A15" s="2">
        <f>IF(B15="","",ROW()-1)</f>
        <v/>
      </c>
      <c r="B15" s="3" t="n"/>
      <c r="C15" s="4" t="n"/>
      <c r="D15" s="4" t="n"/>
      <c r="E15" s="4" t="n"/>
      <c r="F15" s="3" t="n"/>
      <c r="G15" s="3" t="n"/>
      <c r="H15" s="3" t="n"/>
      <c r="I15" s="3" t="n"/>
      <c r="J15" s="3" t="n"/>
      <c r="K15" s="2">
        <f>IF(E15="","",IF(COUNTIF($F$1:$J$1,E15)=0,"",IF(INDEX(F15:J15,MATCH(E15,$F$1:$J$1,0))="","",TODAY()-INDEX(F15:J15,MATCH(E15,$F$1:$J$1,0)))))</f>
        <v/>
      </c>
      <c r="L15" s="4" t="n"/>
    </row>
    <row r="16">
      <c r="A16" s="2">
        <f>IF(B16="","",ROW()-1)</f>
        <v/>
      </c>
      <c r="B16" s="3" t="n"/>
      <c r="C16" s="4" t="n"/>
      <c r="D16" s="4" t="n"/>
      <c r="E16" s="4" t="n"/>
      <c r="F16" s="3" t="n"/>
      <c r="G16" s="3" t="n"/>
      <c r="H16" s="3" t="n"/>
      <c r="I16" s="3" t="n"/>
      <c r="J16" s="3" t="n"/>
      <c r="K16" s="2">
        <f>IF(E16="","",IF(COUNTIF($F$1:$J$1,E16)=0,"",IF(INDEX(F16:J16,MATCH(E16,$F$1:$J$1,0))="","",TODAY()-INDEX(F16:J16,MATCH(E16,$F$1:$J$1,0)))))</f>
        <v/>
      </c>
      <c r="L16" s="4" t="n"/>
    </row>
    <row r="17">
      <c r="A17" s="2">
        <f>IF(B17="","",ROW()-1)</f>
        <v/>
      </c>
      <c r="B17" s="3" t="n"/>
      <c r="C17" s="4" t="n"/>
      <c r="D17" s="4" t="n"/>
      <c r="E17" s="4" t="n"/>
      <c r="F17" s="3" t="n"/>
      <c r="G17" s="3" t="n"/>
      <c r="H17" s="3" t="n"/>
      <c r="I17" s="3" t="n"/>
      <c r="J17" s="3" t="n"/>
      <c r="K17" s="2">
        <f>IF(E17="","",IF(COUNTIF($F$1:$J$1,E17)=0,"",IF(INDEX(F17:J17,MATCH(E17,$F$1:$J$1,0))="","",TODAY()-INDEX(F17:J17,MATCH(E17,$F$1:$J$1,0)))))</f>
        <v/>
      </c>
      <c r="L17" s="4" t="n"/>
    </row>
    <row r="18">
      <c r="A18" s="2">
        <f>IF(B18="","",ROW()-1)</f>
        <v/>
      </c>
      <c r="B18" s="3" t="n"/>
      <c r="C18" s="4" t="n"/>
      <c r="D18" s="4" t="n"/>
      <c r="E18" s="4" t="n"/>
      <c r="F18" s="3" t="n"/>
      <c r="G18" s="3" t="n"/>
      <c r="H18" s="3" t="n"/>
      <c r="I18" s="3" t="n"/>
      <c r="J18" s="3" t="n"/>
      <c r="K18" s="2">
        <f>IF(E18="","",IF(COUNTIF($F$1:$J$1,E18)=0,"",IF(INDEX(F18:J18,MATCH(E18,$F$1:$J$1,0))="","",TODAY()-INDEX(F18:J18,MATCH(E18,$F$1:$J$1,0)))))</f>
        <v/>
      </c>
      <c r="L18" s="4" t="n"/>
    </row>
    <row r="19">
      <c r="A19" s="2">
        <f>IF(B19="","",ROW()-1)</f>
        <v/>
      </c>
      <c r="B19" s="3" t="n"/>
      <c r="C19" s="4" t="n"/>
      <c r="D19" s="4" t="n"/>
      <c r="E19" s="4" t="n"/>
      <c r="F19" s="3" t="n"/>
      <c r="G19" s="3" t="n"/>
      <c r="H19" s="3" t="n"/>
      <c r="I19" s="3" t="n"/>
      <c r="J19" s="3" t="n"/>
      <c r="K19" s="2">
        <f>IF(E19="","",IF(COUNTIF($F$1:$J$1,E19)=0,"",IF(INDEX(F19:J19,MATCH(E19,$F$1:$J$1,0))="","",TODAY()-INDEX(F19:J19,MATCH(E19,$F$1:$J$1,0)))))</f>
        <v/>
      </c>
      <c r="L19" s="4" t="n"/>
    </row>
    <row r="20">
      <c r="A20" s="2">
        <f>IF(B20="","",ROW()-1)</f>
        <v/>
      </c>
      <c r="B20" s="3" t="n"/>
      <c r="C20" s="4" t="n"/>
      <c r="D20" s="4" t="n"/>
      <c r="E20" s="4" t="n"/>
      <c r="F20" s="3" t="n"/>
      <c r="G20" s="3" t="n"/>
      <c r="H20" s="3" t="n"/>
      <c r="I20" s="3" t="n"/>
      <c r="J20" s="3" t="n"/>
      <c r="K20" s="2">
        <f>IF(E20="","",IF(COUNTIF($F$1:$J$1,E20)=0,"",IF(INDEX(F20:J20,MATCH(E20,$F$1:$J$1,0))="","",TODAY()-INDEX(F20:J20,MATCH(E20,$F$1:$J$1,0)))))</f>
        <v/>
      </c>
      <c r="L20" s="4" t="n"/>
    </row>
    <row r="21">
      <c r="A21" s="2">
        <f>IF(B21="","",ROW()-1)</f>
        <v/>
      </c>
      <c r="B21" s="3" t="n"/>
      <c r="C21" s="4" t="n"/>
      <c r="D21" s="4" t="n"/>
      <c r="E21" s="4" t="n"/>
      <c r="F21" s="3" t="n"/>
      <c r="G21" s="3" t="n"/>
      <c r="H21" s="3" t="n"/>
      <c r="I21" s="3" t="n"/>
      <c r="J21" s="3" t="n"/>
      <c r="K21" s="2">
        <f>IF(E21="","",IF(COUNTIF($F$1:$J$1,E21)=0,"",IF(INDEX(F21:J21,MATCH(E21,$F$1:$J$1,0))="","",TODAY()-INDEX(F21:J21,MATCH(E21,$F$1:$J$1,0)))))</f>
        <v/>
      </c>
      <c r="L21" s="4" t="n"/>
    </row>
    <row r="22">
      <c r="A22" s="2">
        <f>IF(B22="","",ROW()-1)</f>
        <v/>
      </c>
      <c r="B22" s="3" t="n"/>
      <c r="C22" s="4" t="n"/>
      <c r="D22" s="4" t="n"/>
      <c r="E22" s="4" t="n"/>
      <c r="F22" s="3" t="n"/>
      <c r="G22" s="3" t="n"/>
      <c r="H22" s="3" t="n"/>
      <c r="I22" s="3" t="n"/>
      <c r="J22" s="3" t="n"/>
      <c r="K22" s="2">
        <f>IF(E22="","",IF(COUNTIF($F$1:$J$1,E22)=0,"",IF(INDEX(F22:J22,MATCH(E22,$F$1:$J$1,0))="","",TODAY()-INDEX(F22:J22,MATCH(E22,$F$1:$J$1,0)))))</f>
        <v/>
      </c>
      <c r="L22" s="4" t="n"/>
    </row>
    <row r="23">
      <c r="A23" s="2">
        <f>IF(B23="","",ROW()-1)</f>
        <v/>
      </c>
      <c r="B23" s="3" t="n"/>
      <c r="C23" s="4" t="n"/>
      <c r="D23" s="4" t="n"/>
      <c r="E23" s="4" t="n"/>
      <c r="F23" s="3" t="n"/>
      <c r="G23" s="3" t="n"/>
      <c r="H23" s="3" t="n"/>
      <c r="I23" s="3" t="n"/>
      <c r="J23" s="3" t="n"/>
      <c r="K23" s="2">
        <f>IF(E23="","",IF(COUNTIF($F$1:$J$1,E23)=0,"",IF(INDEX(F23:J23,MATCH(E23,$F$1:$J$1,0))="","",TODAY()-INDEX(F23:J23,MATCH(E23,$F$1:$J$1,0)))))</f>
        <v/>
      </c>
      <c r="L23" s="4" t="n"/>
    </row>
    <row r="24">
      <c r="A24" s="2">
        <f>IF(B24="","",ROW()-1)</f>
        <v/>
      </c>
      <c r="B24" s="3" t="n"/>
      <c r="C24" s="4" t="n"/>
      <c r="D24" s="4" t="n"/>
      <c r="E24" s="4" t="n"/>
      <c r="F24" s="3" t="n"/>
      <c r="G24" s="3" t="n"/>
      <c r="H24" s="3" t="n"/>
      <c r="I24" s="3" t="n"/>
      <c r="J24" s="3" t="n"/>
      <c r="K24" s="2">
        <f>IF(E24="","",IF(COUNTIF($F$1:$J$1,E24)=0,"",IF(INDEX(F24:J24,MATCH(E24,$F$1:$J$1,0))="","",TODAY()-INDEX(F24:J24,MATCH(E24,$F$1:$J$1,0)))))</f>
        <v/>
      </c>
      <c r="L24" s="4" t="n"/>
    </row>
    <row r="25">
      <c r="A25" s="2">
        <f>IF(B25="","",ROW()-1)</f>
        <v/>
      </c>
      <c r="B25" s="3" t="n"/>
      <c r="C25" s="4" t="n"/>
      <c r="D25" s="4" t="n"/>
      <c r="E25" s="4" t="n"/>
      <c r="F25" s="3" t="n"/>
      <c r="G25" s="3" t="n"/>
      <c r="H25" s="3" t="n"/>
      <c r="I25" s="3" t="n"/>
      <c r="J25" s="3" t="n"/>
      <c r="K25" s="2">
        <f>IF(E25="","",IF(COUNTIF($F$1:$J$1,E25)=0,"",IF(INDEX(F25:J25,MATCH(E25,$F$1:$J$1,0))="","",TODAY()-INDEX(F25:J25,MATCH(E25,$F$1:$J$1,0)))))</f>
        <v/>
      </c>
      <c r="L25" s="4" t="n"/>
    </row>
    <row r="26">
      <c r="A26" s="2">
        <f>IF(B26="","",ROW()-1)</f>
        <v/>
      </c>
      <c r="B26" s="3" t="n"/>
      <c r="C26" s="4" t="n"/>
      <c r="D26" s="4" t="n"/>
      <c r="E26" s="4" t="n"/>
      <c r="F26" s="3" t="n"/>
      <c r="G26" s="3" t="n"/>
      <c r="H26" s="3" t="n"/>
      <c r="I26" s="3" t="n"/>
      <c r="J26" s="3" t="n"/>
      <c r="K26" s="2">
        <f>IF(E26="","",IF(COUNTIF($F$1:$J$1,E26)=0,"",IF(INDEX(F26:J26,MATCH(E26,$F$1:$J$1,0))="","",TODAY()-INDEX(F26:J26,MATCH(E26,$F$1:$J$1,0)))))</f>
        <v/>
      </c>
      <c r="L26" s="4" t="n"/>
    </row>
    <row r="27">
      <c r="A27" s="2">
        <f>IF(B27="","",ROW()-1)</f>
        <v/>
      </c>
      <c r="B27" s="3" t="n"/>
      <c r="C27" s="4" t="n"/>
      <c r="D27" s="4" t="n"/>
      <c r="E27" s="4" t="n"/>
      <c r="F27" s="3" t="n"/>
      <c r="G27" s="3" t="n"/>
      <c r="H27" s="3" t="n"/>
      <c r="I27" s="3" t="n"/>
      <c r="J27" s="3" t="n"/>
      <c r="K27" s="2">
        <f>IF(E27="","",IF(COUNTIF($F$1:$J$1,E27)=0,"",IF(INDEX(F27:J27,MATCH(E27,$F$1:$J$1,0))="","",TODAY()-INDEX(F27:J27,MATCH(E27,$F$1:$J$1,0)))))</f>
        <v/>
      </c>
      <c r="L27" s="4" t="n"/>
    </row>
    <row r="28">
      <c r="A28" s="2">
        <f>IF(B28="","",ROW()-1)</f>
        <v/>
      </c>
      <c r="B28" s="3" t="n"/>
      <c r="C28" s="4" t="n"/>
      <c r="D28" s="4" t="n"/>
      <c r="E28" s="4" t="n"/>
      <c r="F28" s="3" t="n"/>
      <c r="G28" s="3" t="n"/>
      <c r="H28" s="3" t="n"/>
      <c r="I28" s="3" t="n"/>
      <c r="J28" s="3" t="n"/>
      <c r="K28" s="2">
        <f>IF(E28="","",IF(COUNTIF($F$1:$J$1,E28)=0,"",IF(INDEX(F28:J28,MATCH(E28,$F$1:$J$1,0))="","",TODAY()-INDEX(F28:J28,MATCH(E28,$F$1:$J$1,0)))))</f>
        <v/>
      </c>
      <c r="L28" s="4" t="n"/>
    </row>
    <row r="29">
      <c r="A29" s="2">
        <f>IF(B29="","",ROW()-1)</f>
        <v/>
      </c>
      <c r="B29" s="3" t="n"/>
      <c r="C29" s="4" t="n"/>
      <c r="D29" s="4" t="n"/>
      <c r="E29" s="4" t="n"/>
      <c r="F29" s="3" t="n"/>
      <c r="G29" s="3" t="n"/>
      <c r="H29" s="3" t="n"/>
      <c r="I29" s="3" t="n"/>
      <c r="J29" s="3" t="n"/>
      <c r="K29" s="2">
        <f>IF(E29="","",IF(COUNTIF($F$1:$J$1,E29)=0,"",IF(INDEX(F29:J29,MATCH(E29,$F$1:$J$1,0))="","",TODAY()-INDEX(F29:J29,MATCH(E29,$F$1:$J$1,0)))))</f>
        <v/>
      </c>
      <c r="L29" s="4" t="n"/>
    </row>
    <row r="30">
      <c r="A30" s="2">
        <f>IF(B30="","",ROW()-1)</f>
        <v/>
      </c>
      <c r="B30" s="3" t="n"/>
      <c r="C30" s="4" t="n"/>
      <c r="D30" s="4" t="n"/>
      <c r="E30" s="4" t="n"/>
      <c r="F30" s="3" t="n"/>
      <c r="G30" s="3" t="n"/>
      <c r="H30" s="3" t="n"/>
      <c r="I30" s="3" t="n"/>
      <c r="J30" s="3" t="n"/>
      <c r="K30" s="2">
        <f>IF(E30="","",IF(COUNTIF($F$1:$J$1,E30)=0,"",IF(INDEX(F30:J30,MATCH(E30,$F$1:$J$1,0))="","",TODAY()-INDEX(F30:J30,MATCH(E30,$F$1:$J$1,0)))))</f>
        <v/>
      </c>
      <c r="L30" s="4" t="n"/>
    </row>
    <row r="31">
      <c r="A31" s="2">
        <f>IF(B31="","",ROW()-1)</f>
        <v/>
      </c>
      <c r="B31" s="3" t="n"/>
      <c r="C31" s="4" t="n"/>
      <c r="D31" s="4" t="n"/>
      <c r="E31" s="4" t="n"/>
      <c r="F31" s="3" t="n"/>
      <c r="G31" s="3" t="n"/>
      <c r="H31" s="3" t="n"/>
      <c r="I31" s="3" t="n"/>
      <c r="J31" s="3" t="n"/>
      <c r="K31" s="2">
        <f>IF(E31="","",IF(COUNTIF($F$1:$J$1,E31)=0,"",IF(INDEX(F31:J31,MATCH(E31,$F$1:$J$1,0))="","",TODAY()-INDEX(F31:J31,MATCH(E31,$F$1:$J$1,0)))))</f>
        <v/>
      </c>
      <c r="L31" s="4" t="n"/>
    </row>
    <row r="32">
      <c r="A32" s="2">
        <f>IF(B32="","",ROW()-1)</f>
        <v/>
      </c>
      <c r="B32" s="3" t="n"/>
      <c r="C32" s="4" t="n"/>
      <c r="D32" s="4" t="n"/>
      <c r="E32" s="4" t="n"/>
      <c r="F32" s="3" t="n"/>
      <c r="G32" s="3" t="n"/>
      <c r="H32" s="3" t="n"/>
      <c r="I32" s="3" t="n"/>
      <c r="J32" s="3" t="n"/>
      <c r="K32" s="2">
        <f>IF(E32="","",IF(COUNTIF($F$1:$J$1,E32)=0,"",IF(INDEX(F32:J32,MATCH(E32,$F$1:$J$1,0))="","",TODAY()-INDEX(F32:J32,MATCH(E32,$F$1:$J$1,0)))))</f>
        <v/>
      </c>
      <c r="L32" s="4" t="n"/>
    </row>
    <row r="33">
      <c r="A33" s="2">
        <f>IF(B33="","",ROW()-1)</f>
        <v/>
      </c>
      <c r="B33" s="3" t="n"/>
      <c r="C33" s="4" t="n"/>
      <c r="D33" s="4" t="n"/>
      <c r="E33" s="4" t="n"/>
      <c r="F33" s="3" t="n"/>
      <c r="G33" s="3" t="n"/>
      <c r="H33" s="3" t="n"/>
      <c r="I33" s="3" t="n"/>
      <c r="J33" s="3" t="n"/>
      <c r="K33" s="2">
        <f>IF(E33="","",IF(COUNTIF($F$1:$J$1,E33)=0,"",IF(INDEX(F33:J33,MATCH(E33,$F$1:$J$1,0))="","",TODAY()-INDEX(F33:J33,MATCH(E33,$F$1:$J$1,0)))))</f>
        <v/>
      </c>
      <c r="L33" s="4" t="n"/>
    </row>
    <row r="34">
      <c r="A34" s="2">
        <f>IF(B34="","",ROW()-1)</f>
        <v/>
      </c>
      <c r="B34" s="3" t="n"/>
      <c r="C34" s="4" t="n"/>
      <c r="D34" s="4" t="n"/>
      <c r="E34" s="4" t="n"/>
      <c r="F34" s="3" t="n"/>
      <c r="G34" s="3" t="n"/>
      <c r="H34" s="3" t="n"/>
      <c r="I34" s="3" t="n"/>
      <c r="J34" s="3" t="n"/>
      <c r="K34" s="2">
        <f>IF(E34="","",IF(COUNTIF($F$1:$J$1,E34)=0,"",IF(INDEX(F34:J34,MATCH(E34,$F$1:$J$1,0))="","",TODAY()-INDEX(F34:J34,MATCH(E34,$F$1:$J$1,0)))))</f>
        <v/>
      </c>
      <c r="L34" s="4" t="n"/>
    </row>
    <row r="35">
      <c r="A35" s="2">
        <f>IF(B35="","",ROW()-1)</f>
        <v/>
      </c>
      <c r="B35" s="3" t="n"/>
      <c r="C35" s="4" t="n"/>
      <c r="D35" s="4" t="n"/>
      <c r="E35" s="4" t="n"/>
      <c r="F35" s="3" t="n"/>
      <c r="G35" s="3" t="n"/>
      <c r="H35" s="3" t="n"/>
      <c r="I35" s="3" t="n"/>
      <c r="J35" s="3" t="n"/>
      <c r="K35" s="2">
        <f>IF(E35="","",IF(COUNTIF($F$1:$J$1,E35)=0,"",IF(INDEX(F35:J35,MATCH(E35,$F$1:$J$1,0))="","",TODAY()-INDEX(F35:J35,MATCH(E35,$F$1:$J$1,0)))))</f>
        <v/>
      </c>
      <c r="L35" s="4" t="n"/>
    </row>
    <row r="36">
      <c r="A36" s="2">
        <f>IF(B36="","",ROW()-1)</f>
        <v/>
      </c>
      <c r="B36" s="3" t="n"/>
      <c r="C36" s="4" t="n"/>
      <c r="D36" s="4" t="n"/>
      <c r="E36" s="4" t="n"/>
      <c r="F36" s="3" t="n"/>
      <c r="G36" s="3" t="n"/>
      <c r="H36" s="3" t="n"/>
      <c r="I36" s="3" t="n"/>
      <c r="J36" s="3" t="n"/>
      <c r="K36" s="2">
        <f>IF(E36="","",IF(COUNTIF($F$1:$J$1,E36)=0,"",IF(INDEX(F36:J36,MATCH(E36,$F$1:$J$1,0))="","",TODAY()-INDEX(F36:J36,MATCH(E36,$F$1:$J$1,0)))))</f>
        <v/>
      </c>
      <c r="L36" s="4" t="n"/>
    </row>
    <row r="37">
      <c r="A37" s="2">
        <f>IF(B37="","",ROW()-1)</f>
        <v/>
      </c>
      <c r="B37" s="3" t="n"/>
      <c r="C37" s="4" t="n"/>
      <c r="D37" s="4" t="n"/>
      <c r="E37" s="4" t="n"/>
      <c r="F37" s="3" t="n"/>
      <c r="G37" s="3" t="n"/>
      <c r="H37" s="3" t="n"/>
      <c r="I37" s="3" t="n"/>
      <c r="J37" s="3" t="n"/>
      <c r="K37" s="2">
        <f>IF(E37="","",IF(COUNTIF($F$1:$J$1,E37)=0,"",IF(INDEX(F37:J37,MATCH(E37,$F$1:$J$1,0))="","",TODAY()-INDEX(F37:J37,MATCH(E37,$F$1:$J$1,0)))))</f>
        <v/>
      </c>
      <c r="L37" s="4" t="n"/>
    </row>
    <row r="38">
      <c r="A38" s="2">
        <f>IF(B38="","",ROW()-1)</f>
        <v/>
      </c>
      <c r="B38" s="3" t="n"/>
      <c r="C38" s="4" t="n"/>
      <c r="D38" s="4" t="n"/>
      <c r="E38" s="4" t="n"/>
      <c r="F38" s="3" t="n"/>
      <c r="G38" s="3" t="n"/>
      <c r="H38" s="3" t="n"/>
      <c r="I38" s="3" t="n"/>
      <c r="J38" s="3" t="n"/>
      <c r="K38" s="2">
        <f>IF(E38="","",IF(COUNTIF($F$1:$J$1,E38)=0,"",IF(INDEX(F38:J38,MATCH(E38,$F$1:$J$1,0))="","",TODAY()-INDEX(F38:J38,MATCH(E38,$F$1:$J$1,0)))))</f>
        <v/>
      </c>
      <c r="L38" s="4" t="n"/>
    </row>
    <row r="39">
      <c r="A39" s="2">
        <f>IF(B39="","",ROW()-1)</f>
        <v/>
      </c>
      <c r="B39" s="3" t="n"/>
      <c r="C39" s="4" t="n"/>
      <c r="D39" s="4" t="n"/>
      <c r="E39" s="4" t="n"/>
      <c r="F39" s="3" t="n"/>
      <c r="G39" s="3" t="n"/>
      <c r="H39" s="3" t="n"/>
      <c r="I39" s="3" t="n"/>
      <c r="J39" s="3" t="n"/>
      <c r="K39" s="2">
        <f>IF(E39="","",IF(COUNTIF($F$1:$J$1,E39)=0,"",IF(INDEX(F39:J39,MATCH(E39,$F$1:$J$1,0))="","",TODAY()-INDEX(F39:J39,MATCH(E39,$F$1:$J$1,0)))))</f>
        <v/>
      </c>
      <c r="L39" s="4" t="n"/>
    </row>
    <row r="40">
      <c r="A40" s="2">
        <f>IF(B40="","",ROW()-1)</f>
        <v/>
      </c>
      <c r="B40" s="3" t="n"/>
      <c r="C40" s="4" t="n"/>
      <c r="D40" s="4" t="n"/>
      <c r="E40" s="4" t="n"/>
      <c r="F40" s="3" t="n"/>
      <c r="G40" s="3" t="n"/>
      <c r="H40" s="3" t="n"/>
      <c r="I40" s="3" t="n"/>
      <c r="J40" s="3" t="n"/>
      <c r="K40" s="2">
        <f>IF(E40="","",IF(COUNTIF($F$1:$J$1,E40)=0,"",IF(INDEX(F40:J40,MATCH(E40,$F$1:$J$1,0))="","",TODAY()-INDEX(F40:J40,MATCH(E40,$F$1:$J$1,0)))))</f>
        <v/>
      </c>
      <c r="L40" s="4" t="n"/>
    </row>
    <row r="41">
      <c r="A41" s="2">
        <f>IF(B41="","",ROW()-1)</f>
        <v/>
      </c>
      <c r="B41" s="3" t="n"/>
      <c r="C41" s="4" t="n"/>
      <c r="D41" s="4" t="n"/>
      <c r="E41" s="4" t="n"/>
      <c r="F41" s="3" t="n"/>
      <c r="G41" s="3" t="n"/>
      <c r="H41" s="3" t="n"/>
      <c r="I41" s="3" t="n"/>
      <c r="J41" s="3" t="n"/>
      <c r="K41" s="2">
        <f>IF(E41="","",IF(COUNTIF($F$1:$J$1,E41)=0,"",IF(INDEX(F41:J41,MATCH(E41,$F$1:$J$1,0))="","",TODAY()-INDEX(F41:J41,MATCH(E41,$F$1:$J$1,0)))))</f>
        <v/>
      </c>
      <c r="L41" s="4" t="n"/>
    </row>
    <row r="42">
      <c r="A42" s="2">
        <f>IF(B42="","",ROW()-1)</f>
        <v/>
      </c>
      <c r="B42" s="3" t="n"/>
      <c r="C42" s="4" t="n"/>
      <c r="D42" s="4" t="n"/>
      <c r="E42" s="4" t="n"/>
      <c r="F42" s="3" t="n"/>
      <c r="G42" s="3" t="n"/>
      <c r="H42" s="3" t="n"/>
      <c r="I42" s="3" t="n"/>
      <c r="J42" s="3" t="n"/>
      <c r="K42" s="2">
        <f>IF(E42="","",IF(COUNTIF($F$1:$J$1,E42)=0,"",IF(INDEX(F42:J42,MATCH(E42,$F$1:$J$1,0))="","",TODAY()-INDEX(F42:J42,MATCH(E42,$F$1:$J$1,0)))))</f>
        <v/>
      </c>
      <c r="L42" s="4" t="n"/>
    </row>
    <row r="43">
      <c r="A43" s="2">
        <f>IF(B43="","",ROW()-1)</f>
        <v/>
      </c>
      <c r="B43" s="3" t="n"/>
      <c r="C43" s="4" t="n"/>
      <c r="D43" s="4" t="n"/>
      <c r="E43" s="4" t="n"/>
      <c r="F43" s="3" t="n"/>
      <c r="G43" s="3" t="n"/>
      <c r="H43" s="3" t="n"/>
      <c r="I43" s="3" t="n"/>
      <c r="J43" s="3" t="n"/>
      <c r="K43" s="2">
        <f>IF(E43="","",IF(COUNTIF($F$1:$J$1,E43)=0,"",IF(INDEX(F43:J43,MATCH(E43,$F$1:$J$1,0))="","",TODAY()-INDEX(F43:J43,MATCH(E43,$F$1:$J$1,0)))))</f>
        <v/>
      </c>
      <c r="L43" s="4" t="n"/>
    </row>
    <row r="44">
      <c r="A44" s="2">
        <f>IF(B44="","",ROW()-1)</f>
        <v/>
      </c>
      <c r="B44" s="3" t="n"/>
      <c r="C44" s="4" t="n"/>
      <c r="D44" s="4" t="n"/>
      <c r="E44" s="4" t="n"/>
      <c r="F44" s="3" t="n"/>
      <c r="G44" s="3" t="n"/>
      <c r="H44" s="3" t="n"/>
      <c r="I44" s="3" t="n"/>
      <c r="J44" s="3" t="n"/>
      <c r="K44" s="2">
        <f>IF(E44="","",IF(COUNTIF($F$1:$J$1,E44)=0,"",IF(INDEX(F44:J44,MATCH(E44,$F$1:$J$1,0))="","",TODAY()-INDEX(F44:J44,MATCH(E44,$F$1:$J$1,0)))))</f>
        <v/>
      </c>
      <c r="L44" s="4" t="n"/>
    </row>
    <row r="45">
      <c r="A45" s="2">
        <f>IF(B45="","",ROW()-1)</f>
        <v/>
      </c>
      <c r="B45" s="3" t="n"/>
      <c r="C45" s="4" t="n"/>
      <c r="D45" s="4" t="n"/>
      <c r="E45" s="4" t="n"/>
      <c r="F45" s="3" t="n"/>
      <c r="G45" s="3" t="n"/>
      <c r="H45" s="3" t="n"/>
      <c r="I45" s="3" t="n"/>
      <c r="J45" s="3" t="n"/>
      <c r="K45" s="2">
        <f>IF(E45="","",IF(COUNTIF($F$1:$J$1,E45)=0,"",IF(INDEX(F45:J45,MATCH(E45,$F$1:$J$1,0))="","",TODAY()-INDEX(F45:J45,MATCH(E45,$F$1:$J$1,0)))))</f>
        <v/>
      </c>
      <c r="L45" s="4" t="n"/>
    </row>
    <row r="46">
      <c r="A46" s="2">
        <f>IF(B46="","",ROW()-1)</f>
        <v/>
      </c>
      <c r="B46" s="3" t="n"/>
      <c r="C46" s="4" t="n"/>
      <c r="D46" s="4" t="n"/>
      <c r="E46" s="4" t="n"/>
      <c r="F46" s="3" t="n"/>
      <c r="G46" s="3" t="n"/>
      <c r="H46" s="3" t="n"/>
      <c r="I46" s="3" t="n"/>
      <c r="J46" s="3" t="n"/>
      <c r="K46" s="2">
        <f>IF(E46="","",IF(COUNTIF($F$1:$J$1,E46)=0,"",IF(INDEX(F46:J46,MATCH(E46,$F$1:$J$1,0))="","",TODAY()-INDEX(F46:J46,MATCH(E46,$F$1:$J$1,0)))))</f>
        <v/>
      </c>
      <c r="L46" s="4" t="n"/>
    </row>
    <row r="47">
      <c r="A47" s="2">
        <f>IF(B47="","",ROW()-1)</f>
        <v/>
      </c>
      <c r="B47" s="3" t="n"/>
      <c r="C47" s="4" t="n"/>
      <c r="D47" s="4" t="n"/>
      <c r="E47" s="4" t="n"/>
      <c r="F47" s="3" t="n"/>
      <c r="G47" s="3" t="n"/>
      <c r="H47" s="3" t="n"/>
      <c r="I47" s="3" t="n"/>
      <c r="J47" s="3" t="n"/>
      <c r="K47" s="2">
        <f>IF(E47="","",IF(COUNTIF($F$1:$J$1,E47)=0,"",IF(INDEX(F47:J47,MATCH(E47,$F$1:$J$1,0))="","",TODAY()-INDEX(F47:J47,MATCH(E47,$F$1:$J$1,0)))))</f>
        <v/>
      </c>
      <c r="L47" s="4" t="n"/>
    </row>
    <row r="48">
      <c r="A48" s="2">
        <f>IF(B48="","",ROW()-1)</f>
        <v/>
      </c>
      <c r="B48" s="3" t="n"/>
      <c r="C48" s="4" t="n"/>
      <c r="D48" s="4" t="n"/>
      <c r="E48" s="4" t="n"/>
      <c r="F48" s="3" t="n"/>
      <c r="G48" s="3" t="n"/>
      <c r="H48" s="3" t="n"/>
      <c r="I48" s="3" t="n"/>
      <c r="J48" s="3" t="n"/>
      <c r="K48" s="2">
        <f>IF(E48="","",IF(COUNTIF($F$1:$J$1,E48)=0,"",IF(INDEX(F48:J48,MATCH(E48,$F$1:$J$1,0))="","",TODAY()-INDEX(F48:J48,MATCH(E48,$F$1:$J$1,0)))))</f>
        <v/>
      </c>
      <c r="L48" s="4" t="n"/>
    </row>
    <row r="49">
      <c r="A49" s="2">
        <f>IF(B49="","",ROW()-1)</f>
        <v/>
      </c>
      <c r="B49" s="3" t="n"/>
      <c r="C49" s="4" t="n"/>
      <c r="D49" s="4" t="n"/>
      <c r="E49" s="4" t="n"/>
      <c r="F49" s="3" t="n"/>
      <c r="G49" s="3" t="n"/>
      <c r="H49" s="3" t="n"/>
      <c r="I49" s="3" t="n"/>
      <c r="J49" s="3" t="n"/>
      <c r="K49" s="2">
        <f>IF(E49="","",IF(COUNTIF($F$1:$J$1,E49)=0,"",IF(INDEX(F49:J49,MATCH(E49,$F$1:$J$1,0))="","",TODAY()-INDEX(F49:J49,MATCH(E49,$F$1:$J$1,0)))))</f>
        <v/>
      </c>
      <c r="L49" s="4" t="n"/>
    </row>
    <row r="50">
      <c r="A50" s="2">
        <f>IF(B50="","",ROW()-1)</f>
        <v/>
      </c>
      <c r="B50" s="3" t="n"/>
      <c r="C50" s="4" t="n"/>
      <c r="D50" s="4" t="n"/>
      <c r="E50" s="4" t="n"/>
      <c r="F50" s="3" t="n"/>
      <c r="G50" s="3" t="n"/>
      <c r="H50" s="3" t="n"/>
      <c r="I50" s="3" t="n"/>
      <c r="J50" s="3" t="n"/>
      <c r="K50" s="2">
        <f>IF(E50="","",IF(COUNTIF($F$1:$J$1,E50)=0,"",IF(INDEX(F50:J50,MATCH(E50,$F$1:$J$1,0))="","",TODAY()-INDEX(F50:J50,MATCH(E50,$F$1:$J$1,0)))))</f>
        <v/>
      </c>
      <c r="L50" s="4" t="n"/>
    </row>
    <row r="51">
      <c r="A51" s="2">
        <f>IF(B51="","",ROW()-1)</f>
        <v/>
      </c>
      <c r="B51" s="3" t="n"/>
      <c r="C51" s="4" t="n"/>
      <c r="D51" s="4" t="n"/>
      <c r="E51" s="4" t="n"/>
      <c r="F51" s="3" t="n"/>
      <c r="G51" s="3" t="n"/>
      <c r="H51" s="3" t="n"/>
      <c r="I51" s="3" t="n"/>
      <c r="J51" s="3" t="n"/>
      <c r="K51" s="2">
        <f>IF(E51="","",IF(COUNTIF($F$1:$J$1,E51)=0,"",IF(INDEX(F51:J51,MATCH(E51,$F$1:$J$1,0))="","",TODAY()-INDEX(F51:J51,MATCH(E51,$F$1:$J$1,0)))))</f>
        <v/>
      </c>
      <c r="L51" s="4" t="n"/>
    </row>
    <row r="52">
      <c r="A52" s="2">
        <f>IF(B52="","",ROW()-1)</f>
        <v/>
      </c>
      <c r="B52" s="3" t="n"/>
      <c r="C52" s="4" t="n"/>
      <c r="D52" s="4" t="n"/>
      <c r="E52" s="4" t="n"/>
      <c r="F52" s="3" t="n"/>
      <c r="G52" s="3" t="n"/>
      <c r="H52" s="3" t="n"/>
      <c r="I52" s="3" t="n"/>
      <c r="J52" s="3" t="n"/>
      <c r="K52" s="2">
        <f>IF(E52="","",IF(COUNTIF($F$1:$J$1,E52)=0,"",IF(INDEX(F52:J52,MATCH(E52,$F$1:$J$1,0))="","",TODAY()-INDEX(F52:J52,MATCH(E52,$F$1:$J$1,0)))))</f>
        <v/>
      </c>
      <c r="L52" s="4" t="n"/>
    </row>
    <row r="53">
      <c r="A53" s="2">
        <f>IF(B53="","",ROW()-1)</f>
        <v/>
      </c>
      <c r="B53" s="3" t="n"/>
      <c r="C53" s="4" t="n"/>
      <c r="D53" s="4" t="n"/>
      <c r="E53" s="4" t="n"/>
      <c r="F53" s="3" t="n"/>
      <c r="G53" s="3" t="n"/>
      <c r="H53" s="3" t="n"/>
      <c r="I53" s="3" t="n"/>
      <c r="J53" s="3" t="n"/>
      <c r="K53" s="2">
        <f>IF(E53="","",IF(COUNTIF($F$1:$J$1,E53)=0,"",IF(INDEX(F53:J53,MATCH(E53,$F$1:$J$1,0))="","",TODAY()-INDEX(F53:J53,MATCH(E53,$F$1:$J$1,0)))))</f>
        <v/>
      </c>
      <c r="L53" s="4" t="n"/>
    </row>
    <row r="54">
      <c r="A54" s="2">
        <f>IF(B54="","",ROW()-1)</f>
        <v/>
      </c>
      <c r="B54" s="3" t="n"/>
      <c r="C54" s="4" t="n"/>
      <c r="D54" s="4" t="n"/>
      <c r="E54" s="4" t="n"/>
      <c r="F54" s="3" t="n"/>
      <c r="G54" s="3" t="n"/>
      <c r="H54" s="3" t="n"/>
      <c r="I54" s="3" t="n"/>
      <c r="J54" s="3" t="n"/>
      <c r="K54" s="2">
        <f>IF(E54="","",IF(COUNTIF($F$1:$J$1,E54)=0,"",IF(INDEX(F54:J54,MATCH(E54,$F$1:$J$1,0))="","",TODAY()-INDEX(F54:J54,MATCH(E54,$F$1:$J$1,0)))))</f>
        <v/>
      </c>
      <c r="L54" s="4" t="n"/>
    </row>
    <row r="55">
      <c r="A55" s="2">
        <f>IF(B55="","",ROW()-1)</f>
        <v/>
      </c>
      <c r="B55" s="3" t="n"/>
      <c r="C55" s="4" t="n"/>
      <c r="D55" s="4" t="n"/>
      <c r="E55" s="4" t="n"/>
      <c r="F55" s="3" t="n"/>
      <c r="G55" s="3" t="n"/>
      <c r="H55" s="3" t="n"/>
      <c r="I55" s="3" t="n"/>
      <c r="J55" s="3" t="n"/>
      <c r="K55" s="2">
        <f>IF(E55="","",IF(COUNTIF($F$1:$J$1,E55)=0,"",IF(INDEX(F55:J55,MATCH(E55,$F$1:$J$1,0))="","",TODAY()-INDEX(F55:J55,MATCH(E55,$F$1:$J$1,0)))))</f>
        <v/>
      </c>
      <c r="L55" s="4" t="n"/>
    </row>
    <row r="56">
      <c r="A56" s="2">
        <f>IF(B56="","",ROW()-1)</f>
        <v/>
      </c>
      <c r="B56" s="3" t="n"/>
      <c r="C56" s="4" t="n"/>
      <c r="D56" s="4" t="n"/>
      <c r="E56" s="4" t="n"/>
      <c r="F56" s="3" t="n"/>
      <c r="G56" s="3" t="n"/>
      <c r="H56" s="3" t="n"/>
      <c r="I56" s="3" t="n"/>
      <c r="J56" s="3" t="n"/>
      <c r="K56" s="2">
        <f>IF(E56="","",IF(COUNTIF($F$1:$J$1,E56)=0,"",IF(INDEX(F56:J56,MATCH(E56,$F$1:$J$1,0))="","",TODAY()-INDEX(F56:J56,MATCH(E56,$F$1:$J$1,0)))))</f>
        <v/>
      </c>
      <c r="L56" s="4" t="n"/>
    </row>
    <row r="57">
      <c r="A57" s="2">
        <f>IF(B57="","",ROW()-1)</f>
        <v/>
      </c>
      <c r="B57" s="3" t="n"/>
      <c r="C57" s="4" t="n"/>
      <c r="D57" s="4" t="n"/>
      <c r="E57" s="4" t="n"/>
      <c r="F57" s="3" t="n"/>
      <c r="G57" s="3" t="n"/>
      <c r="H57" s="3" t="n"/>
      <c r="I57" s="3" t="n"/>
      <c r="J57" s="3" t="n"/>
      <c r="K57" s="2">
        <f>IF(E57="","",IF(COUNTIF($F$1:$J$1,E57)=0,"",IF(INDEX(F57:J57,MATCH(E57,$F$1:$J$1,0))="","",TODAY()-INDEX(F57:J57,MATCH(E57,$F$1:$J$1,0)))))</f>
        <v/>
      </c>
      <c r="L57" s="4" t="n"/>
    </row>
    <row r="58">
      <c r="A58" s="2">
        <f>IF(B58="","",ROW()-1)</f>
        <v/>
      </c>
      <c r="B58" s="3" t="n"/>
      <c r="C58" s="4" t="n"/>
      <c r="D58" s="4" t="n"/>
      <c r="E58" s="4" t="n"/>
      <c r="F58" s="3" t="n"/>
      <c r="G58" s="3" t="n"/>
      <c r="H58" s="3" t="n"/>
      <c r="I58" s="3" t="n"/>
      <c r="J58" s="3" t="n"/>
      <c r="K58" s="2">
        <f>IF(E58="","",IF(COUNTIF($F$1:$J$1,E58)=0,"",IF(INDEX(F58:J58,MATCH(E58,$F$1:$J$1,0))="","",TODAY()-INDEX(F58:J58,MATCH(E58,$F$1:$J$1,0)))))</f>
        <v/>
      </c>
      <c r="L58" s="4" t="n"/>
    </row>
    <row r="59">
      <c r="A59" s="2">
        <f>IF(B59="","",ROW()-1)</f>
        <v/>
      </c>
      <c r="B59" s="3" t="n"/>
      <c r="C59" s="4" t="n"/>
      <c r="D59" s="4" t="n"/>
      <c r="E59" s="4" t="n"/>
      <c r="F59" s="3" t="n"/>
      <c r="G59" s="3" t="n"/>
      <c r="H59" s="3" t="n"/>
      <c r="I59" s="3" t="n"/>
      <c r="J59" s="3" t="n"/>
      <c r="K59" s="2">
        <f>IF(E59="","",IF(COUNTIF($F$1:$J$1,E59)=0,"",IF(INDEX(F59:J59,MATCH(E59,$F$1:$J$1,0))="","",TODAY()-INDEX(F59:J59,MATCH(E59,$F$1:$J$1,0)))))</f>
        <v/>
      </c>
      <c r="L59" s="4" t="n"/>
    </row>
    <row r="60">
      <c r="A60" s="2">
        <f>IF(B60="","",ROW()-1)</f>
        <v/>
      </c>
      <c r="B60" s="3" t="n"/>
      <c r="C60" s="4" t="n"/>
      <c r="D60" s="4" t="n"/>
      <c r="E60" s="4" t="n"/>
      <c r="F60" s="3" t="n"/>
      <c r="G60" s="3" t="n"/>
      <c r="H60" s="3" t="n"/>
      <c r="I60" s="3" t="n"/>
      <c r="J60" s="3" t="n"/>
      <c r="K60" s="2">
        <f>IF(E60="","",IF(COUNTIF($F$1:$J$1,E60)=0,"",IF(INDEX(F60:J60,MATCH(E60,$F$1:$J$1,0))="","",TODAY()-INDEX(F60:J60,MATCH(E60,$F$1:$J$1,0)))))</f>
        <v/>
      </c>
      <c r="L60" s="4" t="n"/>
    </row>
    <row r="61">
      <c r="A61" s="2">
        <f>IF(B61="","",ROW()-1)</f>
        <v/>
      </c>
      <c r="B61" s="3" t="n"/>
      <c r="C61" s="4" t="n"/>
      <c r="D61" s="4" t="n"/>
      <c r="E61" s="4" t="n"/>
      <c r="F61" s="3" t="n"/>
      <c r="G61" s="3" t="n"/>
      <c r="H61" s="3" t="n"/>
      <c r="I61" s="3" t="n"/>
      <c r="J61" s="3" t="n"/>
      <c r="K61" s="2">
        <f>IF(E61="","",IF(COUNTIF($F$1:$J$1,E61)=0,"",IF(INDEX(F61:J61,MATCH(E61,$F$1:$J$1,0))="","",TODAY()-INDEX(F61:J61,MATCH(E61,$F$1:$J$1,0)))))</f>
        <v/>
      </c>
      <c r="L61" s="4" t="n"/>
    </row>
    <row r="62">
      <c r="A62" s="2">
        <f>IF(B62="","",ROW()-1)</f>
        <v/>
      </c>
      <c r="B62" s="3" t="n"/>
      <c r="C62" s="4" t="n"/>
      <c r="D62" s="4" t="n"/>
      <c r="E62" s="4" t="n"/>
      <c r="F62" s="3" t="n"/>
      <c r="G62" s="3" t="n"/>
      <c r="H62" s="3" t="n"/>
      <c r="I62" s="3" t="n"/>
      <c r="J62" s="3" t="n"/>
      <c r="K62" s="2">
        <f>IF(E62="","",IF(COUNTIF($F$1:$J$1,E62)=0,"",IF(INDEX(F62:J62,MATCH(E62,$F$1:$J$1,0))="","",TODAY()-INDEX(F62:J62,MATCH(E62,$F$1:$J$1,0)))))</f>
        <v/>
      </c>
      <c r="L62" s="4" t="n"/>
    </row>
    <row r="63">
      <c r="A63" s="2">
        <f>IF(B63="","",ROW()-1)</f>
        <v/>
      </c>
      <c r="B63" s="3" t="n"/>
      <c r="C63" s="4" t="n"/>
      <c r="D63" s="4" t="n"/>
      <c r="E63" s="4" t="n"/>
      <c r="F63" s="3" t="n"/>
      <c r="G63" s="3" t="n"/>
      <c r="H63" s="3" t="n"/>
      <c r="I63" s="3" t="n"/>
      <c r="J63" s="3" t="n"/>
      <c r="K63" s="2">
        <f>IF(E63="","",IF(COUNTIF($F$1:$J$1,E63)=0,"",IF(INDEX(F63:J63,MATCH(E63,$F$1:$J$1,0))="","",TODAY()-INDEX(F63:J63,MATCH(E63,$F$1:$J$1,0)))))</f>
        <v/>
      </c>
      <c r="L63" s="4" t="n"/>
    </row>
    <row r="64">
      <c r="A64" s="2">
        <f>IF(B64="","",ROW()-1)</f>
        <v/>
      </c>
      <c r="B64" s="3" t="n"/>
      <c r="C64" s="4" t="n"/>
      <c r="D64" s="4" t="n"/>
      <c r="E64" s="4" t="n"/>
      <c r="F64" s="3" t="n"/>
      <c r="G64" s="3" t="n"/>
      <c r="H64" s="3" t="n"/>
      <c r="I64" s="3" t="n"/>
      <c r="J64" s="3" t="n"/>
      <c r="K64" s="2">
        <f>IF(E64="","",IF(COUNTIF($F$1:$J$1,E64)=0,"",IF(INDEX(F64:J64,MATCH(E64,$F$1:$J$1,0))="","",TODAY()-INDEX(F64:J64,MATCH(E64,$F$1:$J$1,0)))))</f>
        <v/>
      </c>
      <c r="L64" s="4" t="n"/>
    </row>
    <row r="65">
      <c r="A65" s="2">
        <f>IF(B65="","",ROW()-1)</f>
        <v/>
      </c>
      <c r="B65" s="3" t="n"/>
      <c r="C65" s="4" t="n"/>
      <c r="D65" s="4" t="n"/>
      <c r="E65" s="4" t="n"/>
      <c r="F65" s="3" t="n"/>
      <c r="G65" s="3" t="n"/>
      <c r="H65" s="3" t="n"/>
      <c r="I65" s="3" t="n"/>
      <c r="J65" s="3" t="n"/>
      <c r="K65" s="2">
        <f>IF(E65="","",IF(COUNTIF($F$1:$J$1,E65)=0,"",IF(INDEX(F65:J65,MATCH(E65,$F$1:$J$1,0))="","",TODAY()-INDEX(F65:J65,MATCH(E65,$F$1:$J$1,0)))))</f>
        <v/>
      </c>
      <c r="L65" s="4" t="n"/>
    </row>
    <row r="66">
      <c r="A66" s="2">
        <f>IF(B66="","",ROW()-1)</f>
        <v/>
      </c>
      <c r="B66" s="3" t="n"/>
      <c r="C66" s="4" t="n"/>
      <c r="D66" s="4" t="n"/>
      <c r="E66" s="4" t="n"/>
      <c r="F66" s="3" t="n"/>
      <c r="G66" s="3" t="n"/>
      <c r="H66" s="3" t="n"/>
      <c r="I66" s="3" t="n"/>
      <c r="J66" s="3" t="n"/>
      <c r="K66" s="2">
        <f>IF(E66="","",IF(COUNTIF($F$1:$J$1,E66)=0,"",IF(INDEX(F66:J66,MATCH(E66,$F$1:$J$1,0))="","",TODAY()-INDEX(F66:J66,MATCH(E66,$F$1:$J$1,0)))))</f>
        <v/>
      </c>
      <c r="L66" s="4" t="n"/>
    </row>
    <row r="67">
      <c r="A67" s="2">
        <f>IF(B67="","",ROW()-1)</f>
        <v/>
      </c>
      <c r="B67" s="3" t="n"/>
      <c r="C67" s="4" t="n"/>
      <c r="D67" s="4" t="n"/>
      <c r="E67" s="4" t="n"/>
      <c r="F67" s="3" t="n"/>
      <c r="G67" s="3" t="n"/>
      <c r="H67" s="3" t="n"/>
      <c r="I67" s="3" t="n"/>
      <c r="J67" s="3" t="n"/>
      <c r="K67" s="2">
        <f>IF(E67="","",IF(COUNTIF($F$1:$J$1,E67)=0,"",IF(INDEX(F67:J67,MATCH(E67,$F$1:$J$1,0))="","",TODAY()-INDEX(F67:J67,MATCH(E67,$F$1:$J$1,0)))))</f>
        <v/>
      </c>
      <c r="L67" s="4" t="n"/>
    </row>
    <row r="68">
      <c r="A68" s="2">
        <f>IF(B68="","",ROW()-1)</f>
        <v/>
      </c>
      <c r="B68" s="3" t="n"/>
      <c r="C68" s="4" t="n"/>
      <c r="D68" s="4" t="n"/>
      <c r="E68" s="4" t="n"/>
      <c r="F68" s="3" t="n"/>
      <c r="G68" s="3" t="n"/>
      <c r="H68" s="3" t="n"/>
      <c r="I68" s="3" t="n"/>
      <c r="J68" s="3" t="n"/>
      <c r="K68" s="2">
        <f>IF(E68="","",IF(COUNTIF($F$1:$J$1,E68)=0,"",IF(INDEX(F68:J68,MATCH(E68,$F$1:$J$1,0))="","",TODAY()-INDEX(F68:J68,MATCH(E68,$F$1:$J$1,0)))))</f>
        <v/>
      </c>
      <c r="L68" s="4" t="n"/>
    </row>
    <row r="69">
      <c r="A69" s="2">
        <f>IF(B69="","",ROW()-1)</f>
        <v/>
      </c>
      <c r="B69" s="3" t="n"/>
      <c r="C69" s="4" t="n"/>
      <c r="D69" s="4" t="n"/>
      <c r="E69" s="4" t="n"/>
      <c r="F69" s="3" t="n"/>
      <c r="G69" s="3" t="n"/>
      <c r="H69" s="3" t="n"/>
      <c r="I69" s="3" t="n"/>
      <c r="J69" s="3" t="n"/>
      <c r="K69" s="2">
        <f>IF(E69="","",IF(COUNTIF($F$1:$J$1,E69)=0,"",IF(INDEX(F69:J69,MATCH(E69,$F$1:$J$1,0))="","",TODAY()-INDEX(F69:J69,MATCH(E69,$F$1:$J$1,0)))))</f>
        <v/>
      </c>
      <c r="L69" s="4" t="n"/>
    </row>
    <row r="70">
      <c r="A70" s="2">
        <f>IF(B70="","",ROW()-1)</f>
        <v/>
      </c>
      <c r="B70" s="3" t="n"/>
      <c r="C70" s="4" t="n"/>
      <c r="D70" s="4" t="n"/>
      <c r="E70" s="4" t="n"/>
      <c r="F70" s="3" t="n"/>
      <c r="G70" s="3" t="n"/>
      <c r="H70" s="3" t="n"/>
      <c r="I70" s="3" t="n"/>
      <c r="J70" s="3" t="n"/>
      <c r="K70" s="2">
        <f>IF(E70="","",IF(COUNTIF($F$1:$J$1,E70)=0,"",IF(INDEX(F70:J70,MATCH(E70,$F$1:$J$1,0))="","",TODAY()-INDEX(F70:J70,MATCH(E70,$F$1:$J$1,0)))))</f>
        <v/>
      </c>
      <c r="L70" s="4" t="n"/>
    </row>
    <row r="71">
      <c r="A71" s="2">
        <f>IF(B71="","",ROW()-1)</f>
        <v/>
      </c>
      <c r="B71" s="3" t="n"/>
      <c r="C71" s="4" t="n"/>
      <c r="D71" s="4" t="n"/>
      <c r="E71" s="4" t="n"/>
      <c r="F71" s="3" t="n"/>
      <c r="G71" s="3" t="n"/>
      <c r="H71" s="3" t="n"/>
      <c r="I71" s="3" t="n"/>
      <c r="J71" s="3" t="n"/>
      <c r="K71" s="2">
        <f>IF(E71="","",IF(COUNTIF($F$1:$J$1,E71)=0,"",IF(INDEX(F71:J71,MATCH(E71,$F$1:$J$1,0))="","",TODAY()-INDEX(F71:J71,MATCH(E71,$F$1:$J$1,0)))))</f>
        <v/>
      </c>
      <c r="L71" s="4" t="n"/>
    </row>
    <row r="72">
      <c r="A72" s="2">
        <f>IF(B72="","",ROW()-1)</f>
        <v/>
      </c>
      <c r="B72" s="3" t="n"/>
      <c r="C72" s="4" t="n"/>
      <c r="D72" s="4" t="n"/>
      <c r="E72" s="4" t="n"/>
      <c r="F72" s="3" t="n"/>
      <c r="G72" s="3" t="n"/>
      <c r="H72" s="3" t="n"/>
      <c r="I72" s="3" t="n"/>
      <c r="J72" s="3" t="n"/>
      <c r="K72" s="2">
        <f>IF(E72="","",IF(COUNTIF($F$1:$J$1,E72)=0,"",IF(INDEX(F72:J72,MATCH(E72,$F$1:$J$1,0))="","",TODAY()-INDEX(F72:J72,MATCH(E72,$F$1:$J$1,0)))))</f>
        <v/>
      </c>
      <c r="L72" s="4" t="n"/>
    </row>
    <row r="73">
      <c r="A73" s="2">
        <f>IF(B73="","",ROW()-1)</f>
        <v/>
      </c>
      <c r="B73" s="3" t="n"/>
      <c r="C73" s="4" t="n"/>
      <c r="D73" s="4" t="n"/>
      <c r="E73" s="4" t="n"/>
      <c r="F73" s="3" t="n"/>
      <c r="G73" s="3" t="n"/>
      <c r="H73" s="3" t="n"/>
      <c r="I73" s="3" t="n"/>
      <c r="J73" s="3" t="n"/>
      <c r="K73" s="2">
        <f>IF(E73="","",IF(COUNTIF($F$1:$J$1,E73)=0,"",IF(INDEX(F73:J73,MATCH(E73,$F$1:$J$1,0))="","",TODAY()-INDEX(F73:J73,MATCH(E73,$F$1:$J$1,0)))))</f>
        <v/>
      </c>
      <c r="L73" s="4" t="n"/>
    </row>
    <row r="74">
      <c r="A74" s="2">
        <f>IF(B74="","",ROW()-1)</f>
        <v/>
      </c>
      <c r="B74" s="3" t="n"/>
      <c r="C74" s="4" t="n"/>
      <c r="D74" s="4" t="n"/>
      <c r="E74" s="4" t="n"/>
      <c r="F74" s="3" t="n"/>
      <c r="G74" s="3" t="n"/>
      <c r="H74" s="3" t="n"/>
      <c r="I74" s="3" t="n"/>
      <c r="J74" s="3" t="n"/>
      <c r="K74" s="2">
        <f>IF(E74="","",IF(COUNTIF($F$1:$J$1,E74)=0,"",IF(INDEX(F74:J74,MATCH(E74,$F$1:$J$1,0))="","",TODAY()-INDEX(F74:J74,MATCH(E74,$F$1:$J$1,0)))))</f>
        <v/>
      </c>
      <c r="L74" s="4" t="n"/>
    </row>
    <row r="75">
      <c r="A75" s="2">
        <f>IF(B75="","",ROW()-1)</f>
        <v/>
      </c>
      <c r="B75" s="3" t="n"/>
      <c r="C75" s="4" t="n"/>
      <c r="D75" s="4" t="n"/>
      <c r="E75" s="4" t="n"/>
      <c r="F75" s="3" t="n"/>
      <c r="G75" s="3" t="n"/>
      <c r="H75" s="3" t="n"/>
      <c r="I75" s="3" t="n"/>
      <c r="J75" s="3" t="n"/>
      <c r="K75" s="2">
        <f>IF(E75="","",IF(COUNTIF($F$1:$J$1,E75)=0,"",IF(INDEX(F75:J75,MATCH(E75,$F$1:$J$1,0))="","",TODAY()-INDEX(F75:J75,MATCH(E75,$F$1:$J$1,0)))))</f>
        <v/>
      </c>
      <c r="L75" s="4" t="n"/>
    </row>
    <row r="76">
      <c r="A76" s="2">
        <f>IF(B76="","",ROW()-1)</f>
        <v/>
      </c>
      <c r="B76" s="3" t="n"/>
      <c r="C76" s="4" t="n"/>
      <c r="D76" s="4" t="n"/>
      <c r="E76" s="4" t="n"/>
      <c r="F76" s="3" t="n"/>
      <c r="G76" s="3" t="n"/>
      <c r="H76" s="3" t="n"/>
      <c r="I76" s="3" t="n"/>
      <c r="J76" s="3" t="n"/>
      <c r="K76" s="2">
        <f>IF(E76="","",IF(COUNTIF($F$1:$J$1,E76)=0,"",IF(INDEX(F76:J76,MATCH(E76,$F$1:$J$1,0))="","",TODAY()-INDEX(F76:J76,MATCH(E76,$F$1:$J$1,0)))))</f>
        <v/>
      </c>
      <c r="L76" s="4" t="n"/>
    </row>
    <row r="77">
      <c r="A77" s="2">
        <f>IF(B77="","",ROW()-1)</f>
        <v/>
      </c>
      <c r="B77" s="3" t="n"/>
      <c r="C77" s="4" t="n"/>
      <c r="D77" s="4" t="n"/>
      <c r="E77" s="4" t="n"/>
      <c r="F77" s="3" t="n"/>
      <c r="G77" s="3" t="n"/>
      <c r="H77" s="3" t="n"/>
      <c r="I77" s="3" t="n"/>
      <c r="J77" s="3" t="n"/>
      <c r="K77" s="2">
        <f>IF(E77="","",IF(COUNTIF($F$1:$J$1,E77)=0,"",IF(INDEX(F77:J77,MATCH(E77,$F$1:$J$1,0))="","",TODAY()-INDEX(F77:J77,MATCH(E77,$F$1:$J$1,0)))))</f>
        <v/>
      </c>
      <c r="L77" s="4" t="n"/>
    </row>
    <row r="78">
      <c r="A78" s="2">
        <f>IF(B78="","",ROW()-1)</f>
        <v/>
      </c>
      <c r="B78" s="3" t="n"/>
      <c r="C78" s="4" t="n"/>
      <c r="D78" s="4" t="n"/>
      <c r="E78" s="4" t="n"/>
      <c r="F78" s="3" t="n"/>
      <c r="G78" s="3" t="n"/>
      <c r="H78" s="3" t="n"/>
      <c r="I78" s="3" t="n"/>
      <c r="J78" s="3" t="n"/>
      <c r="K78" s="2">
        <f>IF(E78="","",IF(COUNTIF($F$1:$J$1,E78)=0,"",IF(INDEX(F78:J78,MATCH(E78,$F$1:$J$1,0))="","",TODAY()-INDEX(F78:J78,MATCH(E78,$F$1:$J$1,0)))))</f>
        <v/>
      </c>
      <c r="L78" s="4" t="n"/>
    </row>
    <row r="79">
      <c r="A79" s="2">
        <f>IF(B79="","",ROW()-1)</f>
        <v/>
      </c>
      <c r="B79" s="3" t="n"/>
      <c r="C79" s="4" t="n"/>
      <c r="D79" s="4" t="n"/>
      <c r="E79" s="4" t="n"/>
      <c r="F79" s="3" t="n"/>
      <c r="G79" s="3" t="n"/>
      <c r="H79" s="3" t="n"/>
      <c r="I79" s="3" t="n"/>
      <c r="J79" s="3" t="n"/>
      <c r="K79" s="2">
        <f>IF(E79="","",IF(COUNTIF($F$1:$J$1,E79)=0,"",IF(INDEX(F79:J79,MATCH(E79,$F$1:$J$1,0))="","",TODAY()-INDEX(F79:J79,MATCH(E79,$F$1:$J$1,0)))))</f>
        <v/>
      </c>
      <c r="L79" s="4" t="n"/>
    </row>
    <row r="80">
      <c r="A80" s="2">
        <f>IF(B80="","",ROW()-1)</f>
        <v/>
      </c>
      <c r="B80" s="3" t="n"/>
      <c r="C80" s="4" t="n"/>
      <c r="D80" s="4" t="n"/>
      <c r="E80" s="4" t="n"/>
      <c r="F80" s="3" t="n"/>
      <c r="G80" s="3" t="n"/>
      <c r="H80" s="3" t="n"/>
      <c r="I80" s="3" t="n"/>
      <c r="J80" s="3" t="n"/>
      <c r="K80" s="2">
        <f>IF(E80="","",IF(COUNTIF($F$1:$J$1,E80)=0,"",IF(INDEX(F80:J80,MATCH(E80,$F$1:$J$1,0))="","",TODAY()-INDEX(F80:J80,MATCH(E80,$F$1:$J$1,0)))))</f>
        <v/>
      </c>
      <c r="L80" s="4" t="n"/>
    </row>
    <row r="81">
      <c r="A81" s="2">
        <f>IF(B81="","",ROW()-1)</f>
        <v/>
      </c>
      <c r="B81" s="3" t="n"/>
      <c r="C81" s="4" t="n"/>
      <c r="D81" s="4" t="n"/>
      <c r="E81" s="4" t="n"/>
      <c r="F81" s="3" t="n"/>
      <c r="G81" s="3" t="n"/>
      <c r="H81" s="3" t="n"/>
      <c r="I81" s="3" t="n"/>
      <c r="J81" s="3" t="n"/>
      <c r="K81" s="2">
        <f>IF(E81="","",IF(COUNTIF($F$1:$J$1,E81)=0,"",IF(INDEX(F81:J81,MATCH(E81,$F$1:$J$1,0))="","",TODAY()-INDEX(F81:J81,MATCH(E81,$F$1:$J$1,0)))))</f>
        <v/>
      </c>
      <c r="L81" s="4" t="n"/>
    </row>
    <row r="82">
      <c r="A82" s="2">
        <f>IF(B82="","",ROW()-1)</f>
        <v/>
      </c>
      <c r="B82" s="3" t="n"/>
      <c r="C82" s="4" t="n"/>
      <c r="D82" s="4" t="n"/>
      <c r="E82" s="4" t="n"/>
      <c r="F82" s="3" t="n"/>
      <c r="G82" s="3" t="n"/>
      <c r="H82" s="3" t="n"/>
      <c r="I82" s="3" t="n"/>
      <c r="J82" s="3" t="n"/>
      <c r="K82" s="2">
        <f>IF(E82="","",IF(COUNTIF($F$1:$J$1,E82)=0,"",IF(INDEX(F82:J82,MATCH(E82,$F$1:$J$1,0))="","",TODAY()-INDEX(F82:J82,MATCH(E82,$F$1:$J$1,0)))))</f>
        <v/>
      </c>
      <c r="L82" s="4" t="n"/>
    </row>
    <row r="83">
      <c r="A83" s="2">
        <f>IF(B83="","",ROW()-1)</f>
        <v/>
      </c>
      <c r="B83" s="3" t="n"/>
      <c r="C83" s="4" t="n"/>
      <c r="D83" s="4" t="n"/>
      <c r="E83" s="4" t="n"/>
      <c r="F83" s="3" t="n"/>
      <c r="G83" s="3" t="n"/>
      <c r="H83" s="3" t="n"/>
      <c r="I83" s="3" t="n"/>
      <c r="J83" s="3" t="n"/>
      <c r="K83" s="2">
        <f>IF(E83="","",IF(COUNTIF($F$1:$J$1,E83)=0,"",IF(INDEX(F83:J83,MATCH(E83,$F$1:$J$1,0))="","",TODAY()-INDEX(F83:J83,MATCH(E83,$F$1:$J$1,0)))))</f>
        <v/>
      </c>
      <c r="L83" s="4" t="n"/>
    </row>
    <row r="84">
      <c r="A84" s="2">
        <f>IF(B84="","",ROW()-1)</f>
        <v/>
      </c>
      <c r="B84" s="3" t="n"/>
      <c r="C84" s="4" t="n"/>
      <c r="D84" s="4" t="n"/>
      <c r="E84" s="4" t="n"/>
      <c r="F84" s="3" t="n"/>
      <c r="G84" s="3" t="n"/>
      <c r="H84" s="3" t="n"/>
      <c r="I84" s="3" t="n"/>
      <c r="J84" s="3" t="n"/>
      <c r="K84" s="2">
        <f>IF(E84="","",IF(COUNTIF($F$1:$J$1,E84)=0,"",IF(INDEX(F84:J84,MATCH(E84,$F$1:$J$1,0))="","",TODAY()-INDEX(F84:J84,MATCH(E84,$F$1:$J$1,0)))))</f>
        <v/>
      </c>
      <c r="L84" s="4" t="n"/>
    </row>
    <row r="85">
      <c r="A85" s="2">
        <f>IF(B85="","",ROW()-1)</f>
        <v/>
      </c>
      <c r="B85" s="3" t="n"/>
      <c r="C85" s="4" t="n"/>
      <c r="D85" s="4" t="n"/>
      <c r="E85" s="4" t="n"/>
      <c r="F85" s="3" t="n"/>
      <c r="G85" s="3" t="n"/>
      <c r="H85" s="3" t="n"/>
      <c r="I85" s="3" t="n"/>
      <c r="J85" s="3" t="n"/>
      <c r="K85" s="2">
        <f>IF(E85="","",IF(COUNTIF($F$1:$J$1,E85)=0,"",IF(INDEX(F85:J85,MATCH(E85,$F$1:$J$1,0))="","",TODAY()-INDEX(F85:J85,MATCH(E85,$F$1:$J$1,0)))))</f>
        <v/>
      </c>
      <c r="L85" s="4" t="n"/>
    </row>
    <row r="86">
      <c r="A86" s="2">
        <f>IF(B86="","",ROW()-1)</f>
        <v/>
      </c>
      <c r="B86" s="3" t="n"/>
      <c r="C86" s="4" t="n"/>
      <c r="D86" s="4" t="n"/>
      <c r="E86" s="4" t="n"/>
      <c r="F86" s="3" t="n"/>
      <c r="G86" s="3" t="n"/>
      <c r="H86" s="3" t="n"/>
      <c r="I86" s="3" t="n"/>
      <c r="J86" s="3" t="n"/>
      <c r="K86" s="2">
        <f>IF(E86="","",IF(COUNTIF($F$1:$J$1,E86)=0,"",IF(INDEX(F86:J86,MATCH(E86,$F$1:$J$1,0))="","",TODAY()-INDEX(F86:J86,MATCH(E86,$F$1:$J$1,0)))))</f>
        <v/>
      </c>
      <c r="L86" s="4" t="n"/>
    </row>
    <row r="87">
      <c r="A87" s="2">
        <f>IF(B87="","",ROW()-1)</f>
        <v/>
      </c>
      <c r="B87" s="3" t="n"/>
      <c r="C87" s="4" t="n"/>
      <c r="D87" s="4" t="n"/>
      <c r="E87" s="4" t="n"/>
      <c r="F87" s="3" t="n"/>
      <c r="G87" s="3" t="n"/>
      <c r="H87" s="3" t="n"/>
      <c r="I87" s="3" t="n"/>
      <c r="J87" s="3" t="n"/>
      <c r="K87" s="2">
        <f>IF(E87="","",IF(COUNTIF($F$1:$J$1,E87)=0,"",IF(INDEX(F87:J87,MATCH(E87,$F$1:$J$1,0))="","",TODAY()-INDEX(F87:J87,MATCH(E87,$F$1:$J$1,0)))))</f>
        <v/>
      </c>
      <c r="L87" s="4" t="n"/>
    </row>
    <row r="88">
      <c r="A88" s="2">
        <f>IF(B88="","",ROW()-1)</f>
        <v/>
      </c>
      <c r="B88" s="3" t="n"/>
      <c r="C88" s="4" t="n"/>
      <c r="D88" s="4" t="n"/>
      <c r="E88" s="4" t="n"/>
      <c r="F88" s="3" t="n"/>
      <c r="G88" s="3" t="n"/>
      <c r="H88" s="3" t="n"/>
      <c r="I88" s="3" t="n"/>
      <c r="J88" s="3" t="n"/>
      <c r="K88" s="2">
        <f>IF(E88="","",IF(COUNTIF($F$1:$J$1,E88)=0,"",IF(INDEX(F88:J88,MATCH(E88,$F$1:$J$1,0))="","",TODAY()-INDEX(F88:J88,MATCH(E88,$F$1:$J$1,0)))))</f>
        <v/>
      </c>
      <c r="L88" s="4" t="n"/>
    </row>
    <row r="89">
      <c r="A89" s="2">
        <f>IF(B89="","",ROW()-1)</f>
        <v/>
      </c>
      <c r="B89" s="3" t="n"/>
      <c r="C89" s="4" t="n"/>
      <c r="D89" s="4" t="n"/>
      <c r="E89" s="4" t="n"/>
      <c r="F89" s="3" t="n"/>
      <c r="G89" s="3" t="n"/>
      <c r="H89" s="3" t="n"/>
      <c r="I89" s="3" t="n"/>
      <c r="J89" s="3" t="n"/>
      <c r="K89" s="2">
        <f>IF(E89="","",IF(COUNTIF($F$1:$J$1,E89)=0,"",IF(INDEX(F89:J89,MATCH(E89,$F$1:$J$1,0))="","",TODAY()-INDEX(F89:J89,MATCH(E89,$F$1:$J$1,0)))))</f>
        <v/>
      </c>
      <c r="L89" s="4" t="n"/>
    </row>
    <row r="90">
      <c r="A90" s="2">
        <f>IF(B90="","",ROW()-1)</f>
        <v/>
      </c>
      <c r="B90" s="3" t="n"/>
      <c r="C90" s="4" t="n"/>
      <c r="D90" s="4" t="n"/>
      <c r="E90" s="4" t="n"/>
      <c r="F90" s="3" t="n"/>
      <c r="G90" s="3" t="n"/>
      <c r="H90" s="3" t="n"/>
      <c r="I90" s="3" t="n"/>
      <c r="J90" s="3" t="n"/>
      <c r="K90" s="2">
        <f>IF(E90="","",IF(COUNTIF($F$1:$J$1,E90)=0,"",IF(INDEX(F90:J90,MATCH(E90,$F$1:$J$1,0))="","",TODAY()-INDEX(F90:J90,MATCH(E90,$F$1:$J$1,0)))))</f>
        <v/>
      </c>
      <c r="L90" s="4" t="n"/>
    </row>
    <row r="91">
      <c r="A91" s="2">
        <f>IF(B91="","",ROW()-1)</f>
        <v/>
      </c>
      <c r="B91" s="3" t="n"/>
      <c r="C91" s="4" t="n"/>
      <c r="D91" s="4" t="n"/>
      <c r="E91" s="4" t="n"/>
      <c r="F91" s="3" t="n"/>
      <c r="G91" s="3" t="n"/>
      <c r="H91" s="3" t="n"/>
      <c r="I91" s="3" t="n"/>
      <c r="J91" s="3" t="n"/>
      <c r="K91" s="2">
        <f>IF(E91="","",IF(COUNTIF($F$1:$J$1,E91)=0,"",IF(INDEX(F91:J91,MATCH(E91,$F$1:$J$1,0))="","",TODAY()-INDEX(F91:J91,MATCH(E91,$F$1:$J$1,0)))))</f>
        <v/>
      </c>
      <c r="L91" s="4" t="n"/>
    </row>
    <row r="92">
      <c r="A92" s="2">
        <f>IF(B92="","",ROW()-1)</f>
        <v/>
      </c>
      <c r="B92" s="3" t="n"/>
      <c r="C92" s="4" t="n"/>
      <c r="D92" s="4" t="n"/>
      <c r="E92" s="4" t="n"/>
      <c r="F92" s="3" t="n"/>
      <c r="G92" s="3" t="n"/>
      <c r="H92" s="3" t="n"/>
      <c r="I92" s="3" t="n"/>
      <c r="J92" s="3" t="n"/>
      <c r="K92" s="2">
        <f>IF(E92="","",IF(COUNTIF($F$1:$J$1,E92)=0,"",IF(INDEX(F92:J92,MATCH(E92,$F$1:$J$1,0))="","",TODAY()-INDEX(F92:J92,MATCH(E92,$F$1:$J$1,0)))))</f>
        <v/>
      </c>
      <c r="L92" s="4" t="n"/>
    </row>
    <row r="93">
      <c r="A93" s="2">
        <f>IF(B93="","",ROW()-1)</f>
        <v/>
      </c>
      <c r="B93" s="3" t="n"/>
      <c r="C93" s="4" t="n"/>
      <c r="D93" s="4" t="n"/>
      <c r="E93" s="4" t="n"/>
      <c r="F93" s="3" t="n"/>
      <c r="G93" s="3" t="n"/>
      <c r="H93" s="3" t="n"/>
      <c r="I93" s="3" t="n"/>
      <c r="J93" s="3" t="n"/>
      <c r="K93" s="2">
        <f>IF(E93="","",IF(COUNTIF($F$1:$J$1,E93)=0,"",IF(INDEX(F93:J93,MATCH(E93,$F$1:$J$1,0))="","",TODAY()-INDEX(F93:J93,MATCH(E93,$F$1:$J$1,0)))))</f>
        <v/>
      </c>
      <c r="L93" s="4" t="n"/>
    </row>
    <row r="94">
      <c r="A94" s="2">
        <f>IF(B94="","",ROW()-1)</f>
        <v/>
      </c>
      <c r="B94" s="3" t="n"/>
      <c r="C94" s="4" t="n"/>
      <c r="D94" s="4" t="n"/>
      <c r="E94" s="4" t="n"/>
      <c r="F94" s="3" t="n"/>
      <c r="G94" s="3" t="n"/>
      <c r="H94" s="3" t="n"/>
      <c r="I94" s="3" t="n"/>
      <c r="J94" s="3" t="n"/>
      <c r="K94" s="2">
        <f>IF(E94="","",IF(COUNTIF($F$1:$J$1,E94)=0,"",IF(INDEX(F94:J94,MATCH(E94,$F$1:$J$1,0))="","",TODAY()-INDEX(F94:J94,MATCH(E94,$F$1:$J$1,0)))))</f>
        <v/>
      </c>
      <c r="L94" s="4" t="n"/>
    </row>
    <row r="95">
      <c r="A95" s="2">
        <f>IF(B95="","",ROW()-1)</f>
        <v/>
      </c>
      <c r="B95" s="3" t="n"/>
      <c r="C95" s="4" t="n"/>
      <c r="D95" s="4" t="n"/>
      <c r="E95" s="4" t="n"/>
      <c r="F95" s="3" t="n"/>
      <c r="G95" s="3" t="n"/>
      <c r="H95" s="3" t="n"/>
      <c r="I95" s="3" t="n"/>
      <c r="J95" s="3" t="n"/>
      <c r="K95" s="2">
        <f>IF(E95="","",IF(COUNTIF($F$1:$J$1,E95)=0,"",IF(INDEX(F95:J95,MATCH(E95,$F$1:$J$1,0))="","",TODAY()-INDEX(F95:J95,MATCH(E95,$F$1:$J$1,0)))))</f>
        <v/>
      </c>
      <c r="L95" s="4" t="n"/>
    </row>
    <row r="96">
      <c r="A96" s="2">
        <f>IF(B96="","",ROW()-1)</f>
        <v/>
      </c>
      <c r="B96" s="3" t="n"/>
      <c r="C96" s="4" t="n"/>
      <c r="D96" s="4" t="n"/>
      <c r="E96" s="4" t="n"/>
      <c r="F96" s="3" t="n"/>
      <c r="G96" s="3" t="n"/>
      <c r="H96" s="3" t="n"/>
      <c r="I96" s="3" t="n"/>
      <c r="J96" s="3" t="n"/>
      <c r="K96" s="2">
        <f>IF(E96="","",IF(COUNTIF($F$1:$J$1,E96)=0,"",IF(INDEX(F96:J96,MATCH(E96,$F$1:$J$1,0))="","",TODAY()-INDEX(F96:J96,MATCH(E96,$F$1:$J$1,0)))))</f>
        <v/>
      </c>
      <c r="L96" s="4" t="n"/>
    </row>
    <row r="97">
      <c r="A97" s="2">
        <f>IF(B97="","",ROW()-1)</f>
        <v/>
      </c>
      <c r="B97" s="3" t="n"/>
      <c r="C97" s="4" t="n"/>
      <c r="D97" s="4" t="n"/>
      <c r="E97" s="4" t="n"/>
      <c r="F97" s="3" t="n"/>
      <c r="G97" s="3" t="n"/>
      <c r="H97" s="3" t="n"/>
      <c r="I97" s="3" t="n"/>
      <c r="J97" s="3" t="n"/>
      <c r="K97" s="2">
        <f>IF(E97="","",IF(COUNTIF($F$1:$J$1,E97)=0,"",IF(INDEX(F97:J97,MATCH(E97,$F$1:$J$1,0))="","",TODAY()-INDEX(F97:J97,MATCH(E97,$F$1:$J$1,0)))))</f>
        <v/>
      </c>
      <c r="L97" s="4" t="n"/>
    </row>
    <row r="98">
      <c r="A98" s="2">
        <f>IF(B98="","",ROW()-1)</f>
        <v/>
      </c>
      <c r="B98" s="3" t="n"/>
      <c r="C98" s="4" t="n"/>
      <c r="D98" s="4" t="n"/>
      <c r="E98" s="4" t="n"/>
      <c r="F98" s="3" t="n"/>
      <c r="G98" s="3" t="n"/>
      <c r="H98" s="3" t="n"/>
      <c r="I98" s="3" t="n"/>
      <c r="J98" s="3" t="n"/>
      <c r="K98" s="2">
        <f>IF(E98="","",IF(COUNTIF($F$1:$J$1,E98)=0,"",IF(INDEX(F98:J98,MATCH(E98,$F$1:$J$1,0))="","",TODAY()-INDEX(F98:J98,MATCH(E98,$F$1:$J$1,0)))))</f>
        <v/>
      </c>
      <c r="L98" s="4" t="n"/>
    </row>
    <row r="99">
      <c r="A99" s="2">
        <f>IF(B99="","",ROW()-1)</f>
        <v/>
      </c>
      <c r="B99" s="3" t="n"/>
      <c r="C99" s="4" t="n"/>
      <c r="D99" s="4" t="n"/>
      <c r="E99" s="4" t="n"/>
      <c r="F99" s="3" t="n"/>
      <c r="G99" s="3" t="n"/>
      <c r="H99" s="3" t="n"/>
      <c r="I99" s="3" t="n"/>
      <c r="J99" s="3" t="n"/>
      <c r="K99" s="2">
        <f>IF(E99="","",IF(COUNTIF($F$1:$J$1,E99)=0,"",IF(INDEX(F99:J99,MATCH(E99,$F$1:$J$1,0))="","",TODAY()-INDEX(F99:J99,MATCH(E99,$F$1:$J$1,0)))))</f>
        <v/>
      </c>
      <c r="L99" s="4" t="n"/>
    </row>
    <row r="100">
      <c r="A100" s="2">
        <f>IF(B100="","",ROW()-1)</f>
        <v/>
      </c>
      <c r="B100" s="3" t="n"/>
      <c r="C100" s="4" t="n"/>
      <c r="D100" s="4" t="n"/>
      <c r="E100" s="4" t="n"/>
      <c r="F100" s="3" t="n"/>
      <c r="G100" s="3" t="n"/>
      <c r="H100" s="3" t="n"/>
      <c r="I100" s="3" t="n"/>
      <c r="J100" s="3" t="n"/>
      <c r="K100" s="2">
        <f>IF(E100="","",IF(COUNTIF($F$1:$J$1,E100)=0,"",IF(INDEX(F100:J100,MATCH(E100,$F$1:$J$1,0))="","",TODAY()-INDEX(F100:J100,MATCH(E100,$F$1:$J$1,0)))))</f>
        <v/>
      </c>
      <c r="L100" s="4" t="n"/>
    </row>
    <row r="101">
      <c r="A101" s="2">
        <f>IF(B101="","",ROW()-1)</f>
        <v/>
      </c>
      <c r="B101" s="3" t="n"/>
      <c r="C101" s="4" t="n"/>
      <c r="D101" s="4" t="n"/>
      <c r="E101" s="4" t="n"/>
      <c r="F101" s="3" t="n"/>
      <c r="G101" s="3" t="n"/>
      <c r="H101" s="3" t="n"/>
      <c r="I101" s="3" t="n"/>
      <c r="J101" s="3" t="n"/>
      <c r="K101" s="2">
        <f>IF(E101="","",IF(COUNTIF($F$1:$J$1,E101)=0,"",IF(INDEX(F101:J101,MATCH(E101,$F$1:$J$1,0))="","",TODAY()-INDEX(F101:J101,MATCH(E101,$F$1:$J$1,0)))))</f>
        <v/>
      </c>
      <c r="L101" s="4" t="n"/>
    </row>
  </sheetData>
  <autoFilter ref="A1:L101"/>
  <conditionalFormatting sqref="A2:L101">
    <cfRule type="expression" priority="1" dxfId="0">
      <formula>$E2="Отправлено"</formula>
    </cfRule>
    <cfRule type="expression" priority="2" dxfId="1">
      <formula>$E2="Принято в работу"</formula>
    </cfRule>
    <cfRule type="expression" priority="3" dxfId="2">
      <formula>$E2="Запрос цены"</formula>
    </cfRule>
    <cfRule type="expression" priority="4" dxfId="3">
      <formula>$E2="Отправлено предложение"</formula>
    </cfRule>
    <cfRule type="expression" priority="5" dxfId="4">
      <formula>$E2="На согласовании у Заказчика"</formula>
    </cfRule>
  </conditionalFormatting>
  <conditionalFormatting sqref="F2:F101">
    <cfRule type="expression" priority="6" dxfId="5">
      <formula>AND($E2=F$1,F2="")</formula>
    </cfRule>
  </conditionalFormatting>
  <conditionalFormatting sqref="G2:G101">
    <cfRule type="expression" priority="7" dxfId="5">
      <formula>AND($E2=G$1,G2="")</formula>
    </cfRule>
  </conditionalFormatting>
  <conditionalFormatting sqref="H2:H101">
    <cfRule type="expression" priority="8" dxfId="5">
      <formula>AND($E2=H$1,H2="")</formula>
    </cfRule>
  </conditionalFormatting>
  <conditionalFormatting sqref="I2:I101">
    <cfRule type="expression" priority="9" dxfId="5">
      <formula>AND($E2=I$1,I2="")</formula>
    </cfRule>
  </conditionalFormatting>
  <conditionalFormatting sqref="J2:J101">
    <cfRule type="expression" priority="10" dxfId="5">
      <formula>AND($E2=J$1,J2="")</formula>
    </cfRule>
  </conditionalFormatting>
  <conditionalFormatting sqref="K2:K101">
    <cfRule type="expression" priority="11" dxfId="6">
      <formula>AND(K2&lt;&gt;"",K2&gt;Порог_просрочки)</formula>
    </cfRule>
  </conditionalFormatting>
  <dataValidations count="3">
    <dataValidation sqref="C2:C101" showDropDown="0" showInputMessage="0" showErrorMessage="0" allowBlank="1" errorTitle="Некорректное значение" error="Выберите значение из списка" type="list">
      <formula1>=Заказчики</formula1>
    </dataValidation>
    <dataValidation sqref="D2:D101" showDropDown="0" showInputMessage="0" showErrorMessage="0" allowBlank="1" errorTitle="Некорректное значение" error="Выберите значение из списка" type="list">
      <formula1>=Поставщики</formula1>
    </dataValidation>
    <dataValidation sqref="E2:E101" showDropDown="0" showInputMessage="0" showErrorMessage="0" allowBlank="1" errorTitle="Некорректное значение" error="Выберите значение из списка" type="list">
      <formula1>=Статусы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B1" s="5" t="inlineStr">
        <is>
          <t>Заказчики</t>
        </is>
      </c>
      <c r="C1" s="5" t="inlineStr">
        <is>
          <t>Поставщики</t>
        </is>
      </c>
      <c r="D1" s="5" t="inlineStr">
        <is>
          <t>Статусы</t>
        </is>
      </c>
      <c r="E1" s="5" t="inlineStr">
        <is>
          <t>Порог просрочки, дней</t>
        </is>
      </c>
      <c r="F1" s="6" t="n">
        <v>5</v>
      </c>
    </row>
    <row r="2">
      <c r="B2" s="7" t="inlineStr">
        <is>
          <t>Заказчик 1</t>
        </is>
      </c>
      <c r="C2" s="7" t="inlineStr">
        <is>
          <t>Поставщик 1</t>
        </is>
      </c>
      <c r="D2" s="7" t="inlineStr">
        <is>
          <t>Принято в работу</t>
        </is>
      </c>
      <c r="E2" s="7" t="n"/>
      <c r="F2" s="7" t="n"/>
    </row>
    <row r="3">
      <c r="B3" s="7" t="inlineStr">
        <is>
          <t>Заказчик 2</t>
        </is>
      </c>
      <c r="C3" s="7" t="inlineStr">
        <is>
          <t>Поставщик 2</t>
        </is>
      </c>
      <c r="D3" s="7" t="inlineStr">
        <is>
          <t>Запрос цены</t>
        </is>
      </c>
      <c r="E3" s="7" t="n"/>
      <c r="F3" s="7" t="n"/>
    </row>
    <row r="4">
      <c r="B4" s="7" t="inlineStr">
        <is>
          <t>Заказчик 3</t>
        </is>
      </c>
      <c r="C4" s="7" t="inlineStr">
        <is>
          <t>Поставщик 3</t>
        </is>
      </c>
      <c r="D4" s="7" t="inlineStr">
        <is>
          <t>Отправлено предложение</t>
        </is>
      </c>
      <c r="E4" s="7" t="n"/>
      <c r="F4" s="7" t="n"/>
    </row>
    <row r="5">
      <c r="B5" s="7" t="inlineStr">
        <is>
          <t>Заказчик 4</t>
        </is>
      </c>
      <c r="C5" s="7" t="n"/>
      <c r="D5" s="7" t="inlineStr">
        <is>
          <t>На согласовании у Заказчика</t>
        </is>
      </c>
      <c r="E5" s="7" t="n"/>
      <c r="F5" s="7" t="n"/>
    </row>
    <row r="6">
      <c r="B6" s="7" t="inlineStr">
        <is>
          <t>Заказчик 5</t>
        </is>
      </c>
      <c r="C6" s="7" t="n"/>
      <c r="D6" s="7" t="inlineStr">
        <is>
          <t>Отправлено</t>
        </is>
      </c>
      <c r="E6" s="7" t="n"/>
      <c r="F6" s="7" t="n"/>
    </row>
    <row r="7">
      <c r="B7" s="7" t="inlineStr">
        <is>
          <t>Заказчик 6</t>
        </is>
      </c>
      <c r="C7" s="7" t="n"/>
      <c r="D7" s="7" t="n"/>
      <c r="E7" s="7" t="n"/>
      <c r="F7" s="7" t="n"/>
    </row>
    <row r="8">
      <c r="B8" s="7" t="inlineStr">
        <is>
          <t>Заказчик 7</t>
        </is>
      </c>
      <c r="C8" s="7" t="n"/>
      <c r="D8" s="7" t="n"/>
      <c r="E8" s="7" t="n"/>
      <c r="F8" s="7" t="n"/>
    </row>
    <row r="9">
      <c r="B9" s="7" t="inlineStr">
        <is>
          <t>Заказчик 8</t>
        </is>
      </c>
      <c r="C9" s="7" t="n"/>
      <c r="D9" s="7" t="n"/>
      <c r="E9" s="7" t="n"/>
      <c r="F9" s="7" t="n"/>
    </row>
    <row r="10">
      <c r="B10" s="7" t="inlineStr">
        <is>
          <t>Заказчик 9</t>
        </is>
      </c>
      <c r="C10" s="7" t="n"/>
      <c r="D10" s="7" t="n"/>
      <c r="E10" s="7" t="n"/>
      <c r="F10" s="7" t="n"/>
    </row>
    <row r="11">
      <c r="B11" s="7" t="inlineStr">
        <is>
          <t>Заказчик 10</t>
        </is>
      </c>
      <c r="C11" s="7" t="n"/>
      <c r="D11" s="7" t="n"/>
      <c r="E11" s="7" t="n"/>
      <c r="F1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8" t="inlineStr">
        <is>
          <t>Сводка по заявкам</t>
        </is>
      </c>
    </row>
    <row r="3">
      <c r="A3" s="9" t="inlineStr">
        <is>
          <t>Статус</t>
        </is>
      </c>
      <c r="B3" s="9" t="inlineStr">
        <is>
          <t>Количество</t>
        </is>
      </c>
    </row>
    <row r="4">
      <c r="A4" s="7" t="inlineStr">
        <is>
          <t>Принято в работу</t>
        </is>
      </c>
      <c r="B4" s="6">
        <f>COUNTIF(Заявки!$E$2:$E$101,A4)</f>
        <v/>
      </c>
    </row>
    <row r="5">
      <c r="A5" s="7" t="inlineStr">
        <is>
          <t>Запрос цены</t>
        </is>
      </c>
      <c r="B5" s="6">
        <f>COUNTIF(Заявки!$E$2:$E$101,A5)</f>
        <v/>
      </c>
    </row>
    <row r="6">
      <c r="A6" s="7" t="inlineStr">
        <is>
          <t>Отправлено предложение</t>
        </is>
      </c>
      <c r="B6" s="6">
        <f>COUNTIF(Заявки!$E$2:$E$101,A6)</f>
        <v/>
      </c>
    </row>
    <row r="7">
      <c r="A7" s="7" t="inlineStr">
        <is>
          <t>На согласовании у Заказчика</t>
        </is>
      </c>
      <c r="B7" s="6">
        <f>COUNTIF(Заявки!$E$2:$E$101,A7)</f>
        <v/>
      </c>
    </row>
    <row r="8">
      <c r="A8" s="7" t="inlineStr">
        <is>
          <t>Отправлено</t>
        </is>
      </c>
      <c r="B8" s="6">
        <f>COUNTIF(Заявки!$E$2:$E$101,A8)</f>
        <v/>
      </c>
    </row>
    <row r="10">
      <c r="A10" s="10" t="inlineStr">
        <is>
          <t>Общее количество заявок</t>
        </is>
      </c>
      <c r="B10" s="11">
        <f>COUNTA(Заявки!$E$2:$E$101)</f>
        <v/>
      </c>
    </row>
    <row r="11">
      <c r="A11" s="12" t="inlineStr">
        <is>
          <t>Количество просроченных заявок</t>
        </is>
      </c>
      <c r="B11" s="13">
        <f>COUNTIF(Заявки!$K$2:$K$101,"&gt;"&amp;Порог_просрочки)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2026-07-02T05:15:02Z</dcterms:created>
  <dcterms:modified xmlns:dcterms="http://purl.org/dc/terms/" xmlns:xsi="http://www.w3.org/2001/XMLSchema-instance" xsi:type="dcterms:W3CDTF">2026-07-02T05:15:02Z</dcterms:modified>
</cp:coreProperties>
</file>